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BDD" sheetId="1" state="visible" r:id="rId3"/>
    <sheet name="RESUMEN" sheetId="2" state="visible" r:id="rId4"/>
    <sheet name="LISTAS" sheetId="3" state="hidden" r:id="rId5"/>
  </sheets>
  <definedNames>
    <definedName function="false" hidden="true" localSheetId="0" name="_xlnm._FilterDatabase" vbProcedure="false">BBDD!$A$2:$P$312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<sst xmlns="http://schemas.openxmlformats.org/spreadsheetml/2006/main" count="2890" uniqueCount="989">
  <si>
    <t xml:space="preserve">BASE DE DATOS COMERCIAL - GRIFF SALUD</t>
  </si>
  <si>
    <t xml:space="preserve">FECHA
CONTACTO</t>
  </si>
  <si>
    <t xml:space="preserve">MES</t>
  </si>
  <si>
    <t xml:space="preserve">NOMBRE</t>
  </si>
  <si>
    <t xml:space="preserve">TELEFONO</t>
  </si>
  <si>
    <t xml:space="preserve">CANAL</t>
  </si>
  <si>
    <t xml:space="preserve">COMERCIAL</t>
  </si>
  <si>
    <t xml:space="preserve">LUGAR</t>
  </si>
  <si>
    <t xml:space="preserve">ESTADO</t>
  </si>
  <si>
    <t xml:space="preserve">PLAN
VENDIDO</t>
  </si>
  <si>
    <t xml:space="preserve">FECHA
ALTA</t>
  </si>
  <si>
    <t xml:space="preserve">DÍAS DESDE
CONTACTO</t>
  </si>
  <si>
    <t xml:space="preserve">CUIL</t>
  </si>
  <si>
    <t xml:space="preserve">OS ACTUAL</t>
  </si>
  <si>
    <t xml:space="preserve">PLAN ACTUAL</t>
  </si>
  <si>
    <t xml:space="preserve">DELEGACIÓN</t>
  </si>
  <si>
    <t xml:space="preserve">OBSERVACIONES</t>
  </si>
  <si>
    <t xml:space="preserve">Micaela</t>
  </si>
  <si>
    <t xml:space="preserve">3517698641</t>
  </si>
  <si>
    <t xml:space="preserve">TERRENO</t>
  </si>
  <si>
    <t xml:space="preserve">Sol</t>
  </si>
  <si>
    <t xml:space="preserve">CÓRDOBA</t>
  </si>
  <si>
    <t xml:space="preserve">En Contacto</t>
  </si>
  <si>
    <t xml:space="preserve">esperando rta</t>
  </si>
  <si>
    <t xml:space="preserve">Victoria</t>
  </si>
  <si>
    <t xml:space="preserve">3518634762</t>
  </si>
  <si>
    <t xml:space="preserve">Descartado</t>
  </si>
  <si>
    <t xml:space="preserve">No Interesa por Costos / APROSS</t>
  </si>
  <si>
    <t xml:space="preserve">Cristian</t>
  </si>
  <si>
    <t xml:space="preserve">3813695292</t>
  </si>
  <si>
    <t xml:space="preserve">3512009357</t>
  </si>
  <si>
    <t xml:space="preserve">3576447836</t>
  </si>
  <si>
    <t xml:space="preserve">3472584500</t>
  </si>
  <si>
    <t xml:space="preserve">Supervisora</t>
  </si>
  <si>
    <t xml:space="preserve">3512099449</t>
  </si>
  <si>
    <t xml:space="preserve">Cotizado</t>
  </si>
  <si>
    <t xml:space="preserve">Analizando</t>
  </si>
  <si>
    <t xml:space="preserve">Tamara (referido)</t>
  </si>
  <si>
    <t xml:space="preserve">3515 95-6465</t>
  </si>
  <si>
    <t xml:space="preserve">Luis</t>
  </si>
  <si>
    <t xml:space="preserve">3513877479</t>
  </si>
  <si>
    <t xml:space="preserve">Preexistencia / OSPEVIC</t>
  </si>
  <si>
    <t xml:space="preserve">3516157182</t>
  </si>
  <si>
    <t xml:space="preserve">Santi</t>
  </si>
  <si>
    <t xml:space="preserve">3512547404</t>
  </si>
  <si>
    <t xml:space="preserve">Hernan</t>
  </si>
  <si>
    <t xml:space="preserve">3512510005</t>
  </si>
  <si>
    <t xml:space="preserve">Fabri</t>
  </si>
  <si>
    <t xml:space="preserve">3512145612</t>
  </si>
  <si>
    <t xml:space="preserve">esperando rta / SIPSSA</t>
  </si>
  <si>
    <t xml:space="preserve">Lucio</t>
  </si>
  <si>
    <t xml:space="preserve">3513445175</t>
  </si>
  <si>
    <t xml:space="preserve">Maycol</t>
  </si>
  <si>
    <t xml:space="preserve">3516345768</t>
  </si>
  <si>
    <t xml:space="preserve">Ivan</t>
  </si>
  <si>
    <t xml:space="preserve">3513837639</t>
  </si>
  <si>
    <t xml:space="preserve">Javier</t>
  </si>
  <si>
    <t xml:space="preserve">3513933807</t>
  </si>
  <si>
    <t xml:space="preserve">Alexis</t>
  </si>
  <si>
    <t xml:space="preserve">3516426155</t>
  </si>
  <si>
    <t xml:space="preserve">Lisandro</t>
  </si>
  <si>
    <t xml:space="preserve">3515220071</t>
  </si>
  <si>
    <t xml:space="preserve">Jorge</t>
  </si>
  <si>
    <t xml:space="preserve">3515902577</t>
  </si>
  <si>
    <t xml:space="preserve">Preexistencia / MUJER EMBARAZADA - PEDIR REFERIDOS</t>
  </si>
  <si>
    <t xml:space="preserve">Nicolas</t>
  </si>
  <si>
    <t xml:space="preserve">3512124957</t>
  </si>
  <si>
    <t xml:space="preserve">esperando rta / 41002159</t>
  </si>
  <si>
    <t xml:space="preserve">Victor</t>
  </si>
  <si>
    <t xml:space="preserve">3513832390</t>
  </si>
  <si>
    <t xml:space="preserve">esperando rta / APROSS</t>
  </si>
  <si>
    <t xml:space="preserve">Alejandra</t>
  </si>
  <si>
    <t xml:space="preserve">3575413419</t>
  </si>
  <si>
    <t xml:space="preserve">esperando rta / ESTUDIANTE</t>
  </si>
  <si>
    <t xml:space="preserve">Mabel</t>
  </si>
  <si>
    <t xml:space="preserve">3518630406</t>
  </si>
  <si>
    <t xml:space="preserve">Manuel</t>
  </si>
  <si>
    <t xml:space="preserve">2302506530</t>
  </si>
  <si>
    <t xml:space="preserve">Gladys</t>
  </si>
  <si>
    <t xml:space="preserve">3517049326</t>
  </si>
  <si>
    <t xml:space="preserve">Tomas</t>
  </si>
  <si>
    <t xml:space="preserve">3537516963</t>
  </si>
  <si>
    <t xml:space="preserve">esperando rta / SI TIENE COBERTURA</t>
  </si>
  <si>
    <t xml:space="preserve">Cecilia</t>
  </si>
  <si>
    <t xml:space="preserve">3549462584</t>
  </si>
  <si>
    <t xml:space="preserve">Mara</t>
  </si>
  <si>
    <t xml:space="preserve">3516274104</t>
  </si>
  <si>
    <t xml:space="preserve">Analizando / PREVENCIÓN - MONOTRIBUTISTA</t>
  </si>
  <si>
    <t xml:space="preserve">Irupe</t>
  </si>
  <si>
    <t xml:space="preserve">3572537465</t>
  </si>
  <si>
    <t xml:space="preserve">PILAR</t>
  </si>
  <si>
    <t xml:space="preserve">esperando rta / CAJERA - SHELL</t>
  </si>
  <si>
    <t xml:space="preserve">Luciano</t>
  </si>
  <si>
    <t xml:space="preserve">3572614430</t>
  </si>
  <si>
    <t xml:space="preserve">esperando rta / PARTICULAR - SHELL</t>
  </si>
  <si>
    <t xml:space="preserve">Santiago</t>
  </si>
  <si>
    <t xml:space="preserve">3572400496</t>
  </si>
  <si>
    <t xml:space="preserve">esperando rta / LUBRICENTRO - MONOTRIBUTO - MET</t>
  </si>
  <si>
    <t xml:space="preserve">Gabriela de Petris</t>
  </si>
  <si>
    <t xml:space="preserve">3572570854</t>
  </si>
  <si>
    <t xml:space="preserve">Analizando / HIJO MONOTRIBUTISTA</t>
  </si>
  <si>
    <t xml:space="preserve">3572503636</t>
  </si>
  <si>
    <t xml:space="preserve">Analizando / SEM (URGENCIAS)</t>
  </si>
  <si>
    <t xml:space="preserve">Gregorio</t>
  </si>
  <si>
    <t xml:space="preserve">3572681008</t>
  </si>
  <si>
    <t xml:space="preserve">Analizando / OBRA - NO TIENE COBERTURA (PLAN FAMILIAR)</t>
  </si>
  <si>
    <t xml:space="preserve">Jesus</t>
  </si>
  <si>
    <t xml:space="preserve">3572446387</t>
  </si>
  <si>
    <t xml:space="preserve">RIO SEGUNDO</t>
  </si>
  <si>
    <t xml:space="preserve">esperando rta / FÁBRICA LOGRO - PARQUE SALUD - APORTES</t>
  </si>
  <si>
    <t xml:space="preserve">Flavia</t>
  </si>
  <si>
    <t xml:space="preserve">3574432979</t>
  </si>
  <si>
    <t xml:space="preserve">esperando rta / GEA - APORTES (VIVE EN CÓRDOBA CAPITAL)</t>
  </si>
  <si>
    <t xml:space="preserve">Neri</t>
  </si>
  <si>
    <t xml:space="preserve">3572588804</t>
  </si>
  <si>
    <t xml:space="preserve">Analizando / SIN COBERTURA - INTERESADO - APORTES</t>
  </si>
  <si>
    <t xml:space="preserve">Carlos</t>
  </si>
  <si>
    <t xml:space="preserve">3572539460</t>
  </si>
  <si>
    <t xml:space="preserve">no tiene whatsapp / SERVIRED - PARTICULAR</t>
  </si>
  <si>
    <t xml:space="preserve">3516875078</t>
  </si>
  <si>
    <t xml:space="preserve">No Interesa por Costos / SWISS MEDICAL - ARCA - CÓRDOBA CAPITAL</t>
  </si>
  <si>
    <t xml:space="preserve">Sandro</t>
  </si>
  <si>
    <t xml:space="preserve">3572538138</t>
  </si>
  <si>
    <t xml:space="preserve">esperando rta / PREMEDIC - APORTES - DISCONFORME</t>
  </si>
  <si>
    <t xml:space="preserve">Daniela</t>
  </si>
  <si>
    <t xml:space="preserve">3572544359</t>
  </si>
  <si>
    <t xml:space="preserve">esperando rta / PARQUE SALUD</t>
  </si>
  <si>
    <t xml:space="preserve">Eric</t>
  </si>
  <si>
    <t xml:space="preserve">3572587668</t>
  </si>
  <si>
    <t xml:space="preserve">esperando rta / OBRA SOCIAL DE LA FÁBRICA - APORTES</t>
  </si>
  <si>
    <t xml:space="preserve">Brisa</t>
  </si>
  <si>
    <t xml:space="preserve">3547654286</t>
  </si>
  <si>
    <t xml:space="preserve">Lead</t>
  </si>
  <si>
    <t xml:space="preserve">Bruno</t>
  </si>
  <si>
    <t xml:space="preserve">3547608135</t>
  </si>
  <si>
    <t xml:space="preserve">Hector (papá) / APORTE: 17780817</t>
  </si>
  <si>
    <t xml:space="preserve">Rocio</t>
  </si>
  <si>
    <t xml:space="preserve">3547656197</t>
  </si>
  <si>
    <t xml:space="preserve">Leonardo</t>
  </si>
  <si>
    <t xml:space="preserve">3572609169</t>
  </si>
  <si>
    <t xml:space="preserve">Fábrica: LOGROS (Periodo)</t>
  </si>
  <si>
    <t xml:space="preserve">Angel</t>
  </si>
  <si>
    <t xml:space="preserve">3572606463</t>
  </si>
  <si>
    <t xml:space="preserve">OBRA SOCIAL - Fábrica</t>
  </si>
  <si>
    <t xml:space="preserve">Daniel</t>
  </si>
  <si>
    <t xml:space="preserve">3572447843</t>
  </si>
  <si>
    <t xml:space="preserve">Javier chaparro</t>
  </si>
  <si>
    <t xml:space="preserve">Juli</t>
  </si>
  <si>
    <t xml:space="preserve">No puede Desregular / Base Miercoles</t>
  </si>
  <si>
    <t xml:space="preserve">Matias Mariño</t>
  </si>
  <si>
    <t xml:space="preserve">No puede Desregular / Zona miercoles</t>
  </si>
  <si>
    <t xml:space="preserve">Miguel Sanchez</t>
  </si>
  <si>
    <t xml:space="preserve">quiere permanecer en gea por costos y por el Sanotorio Allende / Zona miercoles</t>
  </si>
  <si>
    <t xml:space="preserve">Tomas Rio</t>
  </si>
  <si>
    <t xml:space="preserve">llame y mande msjs y no respondio nunca / Zona miercoles</t>
  </si>
  <si>
    <t xml:space="preserve">Paolo Albertini</t>
  </si>
  <si>
    <t xml:space="preserve">Analizando / Zona miercoles</t>
  </si>
  <si>
    <t xml:space="preserve">Monica Carrizo</t>
  </si>
  <si>
    <t xml:space="preserve">No responde llamada ni Mensajes / Porta jueves</t>
  </si>
  <si>
    <t xml:space="preserve">Ricardo Santa Cuz</t>
  </si>
  <si>
    <t xml:space="preserve">Analizando / Urea Automotor</t>
  </si>
  <si>
    <t xml:space="preserve">Rodrigo Abdala</t>
  </si>
  <si>
    <t xml:space="preserve">No puede Desregular / Urea Automotor</t>
  </si>
  <si>
    <t xml:space="preserve">Maximiliano Varela</t>
  </si>
  <si>
    <t xml:space="preserve">Premedic/ No puede Desregular / ITV</t>
  </si>
  <si>
    <t xml:space="preserve">Arce Nicolas</t>
  </si>
  <si>
    <t xml:space="preserve">llame varias veces y no respondio ni llamadasni msj / ITV</t>
  </si>
  <si>
    <t xml:space="preserve">Esteban Avila</t>
  </si>
  <si>
    <t xml:space="preserve">quiere permanecer en gea por costos y por el Sanotorio Allende / Cauplas</t>
  </si>
  <si>
    <t xml:space="preserve">Pablo Castillo</t>
  </si>
  <si>
    <t xml:space="preserve">quiere permanecer en su O.S por costos / Vidrios</t>
  </si>
  <si>
    <t xml:space="preserve">Juan</t>
  </si>
  <si>
    <t xml:space="preserve">No puede pagar</t>
  </si>
  <si>
    <t xml:space="preserve">Angeles</t>
  </si>
  <si>
    <t xml:space="preserve">No responde llamada ni Mensajes / plaza</t>
  </si>
  <si>
    <t xml:space="preserve">Alejandro Zarraja</t>
  </si>
  <si>
    <t xml:space="preserve">INTERIOR</t>
  </si>
  <si>
    <t xml:space="preserve">Facundo Alvarez</t>
  </si>
  <si>
    <t xml:space="preserve">No puede pagar / pilar estacion srv</t>
  </si>
  <si>
    <t xml:space="preserve">Diego Fernandez</t>
  </si>
  <si>
    <t xml:space="preserve">Analizando / Pilar Diatribuidor</t>
  </si>
  <si>
    <t xml:space="preserve">Yanina Cabrera</t>
  </si>
  <si>
    <t xml:space="preserve">Embarazada / Pilar Polleria</t>
  </si>
  <si>
    <t xml:space="preserve">Gabriela Rodriguez</t>
  </si>
  <si>
    <t xml:space="preserve">lo charla con la pareja / Pilar Forrajeria</t>
  </si>
  <si>
    <t xml:space="preserve">Ferreteria</t>
  </si>
  <si>
    <t xml:space="preserve">ir a visitar a la esposa ya tienen toda la info - No puede desregurar / Pilar ferreteria</t>
  </si>
  <si>
    <t xml:space="preserve">Cuello Johana</t>
  </si>
  <si>
    <t xml:space="preserve">Analizando / Pilar</t>
  </si>
  <si>
    <t xml:space="preserve">Gaston Gauna</t>
  </si>
  <si>
    <t xml:space="preserve">Esperando recibo para cotizar / Rio2 Logro Fri,</t>
  </si>
  <si>
    <t xml:space="preserve">Mauro</t>
  </si>
  <si>
    <t xml:space="preserve">Analizando / Rio2 Logro Fri,</t>
  </si>
  <si>
    <t xml:space="preserve">Rojas Gustavo</t>
  </si>
  <si>
    <t xml:space="preserve">Brenda Estella</t>
  </si>
  <si>
    <t xml:space="preserve">Analizando / Alta Gracia</t>
  </si>
  <si>
    <t xml:space="preserve">Melisa Saucedo</t>
  </si>
  <si>
    <t xml:space="preserve">Neister lopez</t>
  </si>
  <si>
    <t xml:space="preserve">Analizando- Prob económicos / Alta Gracia</t>
  </si>
  <si>
    <t xml:space="preserve">Axel</t>
  </si>
  <si>
    <t xml:space="preserve">Lautaro</t>
  </si>
  <si>
    <t xml:space="preserve">ulises</t>
  </si>
  <si>
    <t xml:space="preserve">35135355461</t>
  </si>
  <si>
    <t xml:space="preserve">Vane</t>
  </si>
  <si>
    <t xml:space="preserve">Analizando / sindicato</t>
  </si>
  <si>
    <t xml:space="preserve">gaston</t>
  </si>
  <si>
    <t xml:space="preserve">3516642188</t>
  </si>
  <si>
    <t xml:space="preserve">No Interesa por Costos / no llegan los mensajes</t>
  </si>
  <si>
    <t xml:space="preserve">ruben</t>
  </si>
  <si>
    <t xml:space="preserve">3515640864</t>
  </si>
  <si>
    <t xml:space="preserve">No Interesa por Costos / no tiene</t>
  </si>
  <si>
    <t xml:space="preserve">nahuel</t>
  </si>
  <si>
    <t xml:space="preserve">3513525911</t>
  </si>
  <si>
    <t xml:space="preserve">No Interesa por Costos / no contesta</t>
  </si>
  <si>
    <t xml:space="preserve">catriel</t>
  </si>
  <si>
    <t xml:space="preserve">3517686440</t>
  </si>
  <si>
    <t xml:space="preserve">No Interesa por Costos / vidrio</t>
  </si>
  <si>
    <t xml:space="preserve">dario</t>
  </si>
  <si>
    <t xml:space="preserve">3512694664</t>
  </si>
  <si>
    <t xml:space="preserve">No Interesa por Costos, el paga 12,000 extras de su sueldo / vidrio</t>
  </si>
  <si>
    <t xml:space="preserve">sol</t>
  </si>
  <si>
    <t xml:space="preserve">358671851</t>
  </si>
  <si>
    <t xml:space="preserve">sin respuesta / terreno</t>
  </si>
  <si>
    <t xml:space="preserve">pricila</t>
  </si>
  <si>
    <t xml:space="preserve">3517917433</t>
  </si>
  <si>
    <t xml:space="preserve">sin respuesta / terrerno</t>
  </si>
  <si>
    <t xml:space="preserve">maidana vanesa</t>
  </si>
  <si>
    <t xml:space="preserve">3513211896</t>
  </si>
  <si>
    <t xml:space="preserve">nunca contesto / terreno</t>
  </si>
  <si>
    <t xml:space="preserve">joaquin carballo</t>
  </si>
  <si>
    <t xml:space="preserve">3519016723</t>
  </si>
  <si>
    <t xml:space="preserve">No Interesa por Costos / no quiere pagar diferencia / terreno</t>
  </si>
  <si>
    <t xml:space="preserve">yonatan Dias</t>
  </si>
  <si>
    <t xml:space="preserve">35113175522</t>
  </si>
  <si>
    <t xml:space="preserve">No Interesa por Costos / terreno</t>
  </si>
  <si>
    <t xml:space="preserve">Valentina albarracin</t>
  </si>
  <si>
    <t xml:space="preserve">3513662971</t>
  </si>
  <si>
    <t xml:space="preserve">no contesto / terreno</t>
  </si>
  <si>
    <t xml:space="preserve">cred</t>
  </si>
  <si>
    <t xml:space="preserve">3512295832</t>
  </si>
  <si>
    <t xml:space="preserve">pablo leonardo</t>
  </si>
  <si>
    <t xml:space="preserve">3572682566</t>
  </si>
  <si>
    <t xml:space="preserve">No puede Desregular / pilar</t>
  </si>
  <si>
    <t xml:space="preserve">marcos vallozzi</t>
  </si>
  <si>
    <t xml:space="preserve">3572594952</t>
  </si>
  <si>
    <t xml:space="preserve">No Interesa por Costos / no quiere pagar diferencia / osde</t>
  </si>
  <si>
    <t xml:space="preserve">Alicia Albert</t>
  </si>
  <si>
    <t xml:space="preserve">3572581200</t>
  </si>
  <si>
    <t xml:space="preserve">Cotizado Sin respuesta Posterior / s-c</t>
  </si>
  <si>
    <t xml:space="preserve">carlos gonzales</t>
  </si>
  <si>
    <t xml:space="preserve">3572609322</t>
  </si>
  <si>
    <t xml:space="preserve">Preexistencia / VEGA</t>
  </si>
  <si>
    <t xml:space="preserve">mauricio oliva</t>
  </si>
  <si>
    <t xml:space="preserve">3572504755</t>
  </si>
  <si>
    <t xml:space="preserve">no quiere cambiarce por el momento / MET</t>
  </si>
  <si>
    <t xml:space="preserve">roberto zamora</t>
  </si>
  <si>
    <t xml:space="preserve">3572605341</t>
  </si>
  <si>
    <t xml:space="preserve">Quiere el Allende / Somos mas caros / GEA</t>
  </si>
  <si>
    <t xml:space="preserve">aAlexis</t>
  </si>
  <si>
    <t xml:space="preserve">3572606512</t>
  </si>
  <si>
    <t xml:space="preserve">No responde Mensajes ni Llamadas</t>
  </si>
  <si>
    <t xml:space="preserve">cuello brian</t>
  </si>
  <si>
    <t xml:space="preserve">3572539307</t>
  </si>
  <si>
    <t xml:space="preserve">no le interesa por el momento / NOBIS</t>
  </si>
  <si>
    <t xml:space="preserve">Gabriel</t>
  </si>
  <si>
    <t xml:space="preserve">3572617054</t>
  </si>
  <si>
    <t xml:space="preserve">Analizando / SERVIRED</t>
  </si>
  <si>
    <t xml:space="preserve">Jonas</t>
  </si>
  <si>
    <t xml:space="preserve">3572550326</t>
  </si>
  <si>
    <t xml:space="preserve">Analizando / NOBIS</t>
  </si>
  <si>
    <t xml:space="preserve">gustavo</t>
  </si>
  <si>
    <t xml:space="preserve">3572447748</t>
  </si>
  <si>
    <t xml:space="preserve">-</t>
  </si>
  <si>
    <t xml:space="preserve">vivas mauro</t>
  </si>
  <si>
    <t xml:space="preserve">3572619983</t>
  </si>
  <si>
    <t xml:space="preserve">No Interesa por Costos / no quiere pagar diferencia / -</t>
  </si>
  <si>
    <t xml:space="preserve">martin felis correa</t>
  </si>
  <si>
    <t xml:space="preserve">3515371497</t>
  </si>
  <si>
    <t xml:space="preserve">Analizando / -</t>
  </si>
  <si>
    <t xml:space="preserve">leandro rios</t>
  </si>
  <si>
    <t xml:space="preserve">3573496666</t>
  </si>
  <si>
    <t xml:space="preserve">recibio info y no le interesa / -</t>
  </si>
  <si>
    <t xml:space="preserve">molina mariano</t>
  </si>
  <si>
    <t xml:space="preserve">3572543455</t>
  </si>
  <si>
    <t xml:space="preserve">no le interesa / -</t>
  </si>
  <si>
    <t xml:space="preserve">julian burgos</t>
  </si>
  <si>
    <t xml:space="preserve">3572615312</t>
  </si>
  <si>
    <t xml:space="preserve">Analizando / family</t>
  </si>
  <si>
    <t xml:space="preserve">diego ledesma</t>
  </si>
  <si>
    <t xml:space="preserve">3572448142</t>
  </si>
  <si>
    <t xml:space="preserve">isabel</t>
  </si>
  <si>
    <t xml:space="preserve">3543606298</t>
  </si>
  <si>
    <t xml:space="preserve">sonia gomez</t>
  </si>
  <si>
    <t xml:space="preserve">3512506647</t>
  </si>
  <si>
    <t xml:space="preserve">ALEJANDRA TELLO</t>
  </si>
  <si>
    <t xml:space="preserve">3543603631</t>
  </si>
  <si>
    <t xml:space="preserve">No responde Mensajes ni Llamadas / -</t>
  </si>
  <si>
    <t xml:space="preserve">ALEJANDRA J</t>
  </si>
  <si>
    <t xml:space="preserve">3512009776</t>
  </si>
  <si>
    <t xml:space="preserve">ALEJANDRO N</t>
  </si>
  <si>
    <t xml:space="preserve">3543633567</t>
  </si>
  <si>
    <t xml:space="preserve">ALDI</t>
  </si>
  <si>
    <t xml:space="preserve">3515529104</t>
  </si>
  <si>
    <t xml:space="preserve">SUAREZ, NICOLAS EDUARDO</t>
  </si>
  <si>
    <t xml:space="preserve">3385434722</t>
  </si>
  <si>
    <t xml:space="preserve">OSPIF</t>
  </si>
  <si>
    <t xml:space="preserve">LABOULAYE</t>
  </si>
  <si>
    <t xml:space="preserve">20371932446</t>
  </si>
  <si>
    <t xml:space="preserve">Grupo Azul-CBA.</t>
  </si>
  <si>
    <t xml:space="preserve">PLAN BASICO</t>
  </si>
  <si>
    <t xml:space="preserve">OSPIF ALTA GRACIA</t>
  </si>
  <si>
    <t xml:space="preserve">esperando respuesta / Contactado 3 veces</t>
  </si>
  <si>
    <t xml:space="preserve">GIMENEZ, HECTOR EMANUEL</t>
  </si>
  <si>
    <t xml:space="preserve">49023032</t>
  </si>
  <si>
    <t xml:space="preserve">COLAZO</t>
  </si>
  <si>
    <t xml:space="preserve">20366841742</t>
  </si>
  <si>
    <t xml:space="preserve">Sin Servicio</t>
  </si>
  <si>
    <t xml:space="preserve">AHUMADA, YANINA DANIELA</t>
  </si>
  <si>
    <t xml:space="preserve">03532-412672</t>
  </si>
  <si>
    <t xml:space="preserve">OLIVA</t>
  </si>
  <si>
    <t xml:space="preserve">27354718702</t>
  </si>
  <si>
    <t xml:space="preserve">TISERA, HUGO</t>
  </si>
  <si>
    <t xml:space="preserve">151111111</t>
  </si>
  <si>
    <t xml:space="preserve">TANCACHA</t>
  </si>
  <si>
    <t xml:space="preserve">20366030426</t>
  </si>
  <si>
    <t xml:space="preserve">MATELLICA, EMILIANO</t>
  </si>
  <si>
    <t xml:space="preserve">49037599</t>
  </si>
  <si>
    <t xml:space="preserve">20361308884</t>
  </si>
  <si>
    <t xml:space="preserve">CARDOZO, JUAN RAMON</t>
  </si>
  <si>
    <t xml:space="preserve">0353-4254271</t>
  </si>
  <si>
    <t xml:space="preserve">CARRILOBO</t>
  </si>
  <si>
    <t xml:space="preserve">20370643173</t>
  </si>
  <si>
    <t xml:space="preserve">MOYANO, CLAUDIO LUCAS</t>
  </si>
  <si>
    <t xml:space="preserve">3525576380</t>
  </si>
  <si>
    <t xml:space="preserve">BUENA VISTA, DEPARTAMENTO SANT</t>
  </si>
  <si>
    <t xml:space="preserve">20356769830</t>
  </si>
  <si>
    <t xml:space="preserve">Numero Inexistente</t>
  </si>
  <si>
    <t xml:space="preserve">CIANI, FATIMA BELEN</t>
  </si>
  <si>
    <t xml:space="preserve">SAN SEVERO</t>
  </si>
  <si>
    <t xml:space="preserve">27367150373</t>
  </si>
  <si>
    <t xml:space="preserve">BENITEZ, FERNANDO JULIAN</t>
  </si>
  <si>
    <t xml:space="preserve">3468416311</t>
  </si>
  <si>
    <t xml:space="preserve">LA CESIRA</t>
  </si>
  <si>
    <t xml:space="preserve">20363669566</t>
  </si>
  <si>
    <t xml:space="preserve">SAVATERO, MARTIN LEONARDO</t>
  </si>
  <si>
    <t xml:space="preserve">3576657112</t>
  </si>
  <si>
    <t xml:space="preserve">ARROYITO</t>
  </si>
  <si>
    <t xml:space="preserve">20356553978</t>
  </si>
  <si>
    <t xml:space="preserve">O.S.P.I.F.</t>
  </si>
  <si>
    <t xml:space="preserve">PLAN BASICO RG</t>
  </si>
  <si>
    <t xml:space="preserve">OSPIF CORDOBA</t>
  </si>
  <si>
    <t xml:space="preserve">AMAYA, ELIZABET JANET</t>
  </si>
  <si>
    <t xml:space="preserve">3585609186</t>
  </si>
  <si>
    <t xml:space="preserve">ALEJANDRO ROCA</t>
  </si>
  <si>
    <t xml:space="preserve">27365873432</t>
  </si>
  <si>
    <t xml:space="preserve">PLAN UNICO</t>
  </si>
  <si>
    <t xml:space="preserve">GOMEZ, MARCELO RAMON</t>
  </si>
  <si>
    <t xml:space="preserve">3573444808</t>
  </si>
  <si>
    <t xml:space="preserve">VILLA DEL ROSARIO</t>
  </si>
  <si>
    <t xml:space="preserve">20346856662</t>
  </si>
  <si>
    <t xml:space="preserve">LIMA, EMANUEL VALENTIN</t>
  </si>
  <si>
    <t xml:space="preserve">3468515239</t>
  </si>
  <si>
    <t xml:space="preserve">ISLA VERDE, DEPARTAMENTO MARCO</t>
  </si>
  <si>
    <t xml:space="preserve">23348184849</t>
  </si>
  <si>
    <t xml:space="preserve">ALEMANY, MARIA FLORENCIA</t>
  </si>
  <si>
    <t xml:space="preserve">351 6064604</t>
  </si>
  <si>
    <t xml:space="preserve">Ciudad CÓRDOBA (CENTRO)</t>
  </si>
  <si>
    <t xml:space="preserve">27352839693</t>
  </si>
  <si>
    <t xml:space="preserve">PLAN BASICO GEN</t>
  </si>
  <si>
    <t xml:space="preserve">RAPOSO, LEILA FERNANDA</t>
  </si>
  <si>
    <t xml:space="preserve">3467-446073</t>
  </si>
  <si>
    <t xml:space="preserve">MONTE BUEY</t>
  </si>
  <si>
    <t xml:space="preserve">27351299385</t>
  </si>
  <si>
    <t xml:space="preserve">FISSORE, MARIA CELESTE</t>
  </si>
  <si>
    <t xml:space="preserve">SAN MARCOS SUD</t>
  </si>
  <si>
    <t xml:space="preserve">27340519839</t>
  </si>
  <si>
    <t xml:space="preserve">RIVERO, RENE RAFAEL</t>
  </si>
  <si>
    <t xml:space="preserve">3535198354</t>
  </si>
  <si>
    <t xml:space="preserve">20350948105</t>
  </si>
  <si>
    <t xml:space="preserve">Prexistencia</t>
  </si>
  <si>
    <t xml:space="preserve">GAUNA, NOELIA FABIANA</t>
  </si>
  <si>
    <t xml:space="preserve">3512111099</t>
  </si>
  <si>
    <t xml:space="preserve">CORDOBA</t>
  </si>
  <si>
    <t xml:space="preserve">24348842907</t>
  </si>
  <si>
    <t xml:space="preserve">LEDESMA, PABLO JEREMIAS</t>
  </si>
  <si>
    <t xml:space="preserve">3515942308</t>
  </si>
  <si>
    <t xml:space="preserve">BARRIO SAN VICENTE</t>
  </si>
  <si>
    <t xml:space="preserve">20355255981</t>
  </si>
  <si>
    <t xml:space="preserve">PEREYRA, MAYCO ROMAN</t>
  </si>
  <si>
    <t xml:space="preserve">03532-421655</t>
  </si>
  <si>
    <t xml:space="preserve">20338814462</t>
  </si>
  <si>
    <t xml:space="preserve">Fuera de servicio</t>
  </si>
  <si>
    <t xml:space="preserve">RIVATA, GONZALO DANIEL ALBERTO</t>
  </si>
  <si>
    <t xml:space="preserve">03573-456227</t>
  </si>
  <si>
    <t xml:space="preserve">20346857383</t>
  </si>
  <si>
    <t xml:space="preserve">GONZALEZ, PABLO DANIEL</t>
  </si>
  <si>
    <t xml:space="preserve">GENERAL CABRERA</t>
  </si>
  <si>
    <t xml:space="preserve">23345599479</t>
  </si>
  <si>
    <t xml:space="preserve">ESPINOSA, CELSO EMMANUEL</t>
  </si>
  <si>
    <t xml:space="preserve">0351-4761106</t>
  </si>
  <si>
    <t xml:space="preserve">BARRIO ANA MARIA ZUMARAN</t>
  </si>
  <si>
    <t xml:space="preserve">23341892309</t>
  </si>
  <si>
    <t xml:space="preserve">MENDEZ, LUIS OSCAR</t>
  </si>
  <si>
    <t xml:space="preserve">03537-15304572</t>
  </si>
  <si>
    <t xml:space="preserve">BELL VILLE</t>
  </si>
  <si>
    <t xml:space="preserve">20340076398</t>
  </si>
  <si>
    <t xml:space="preserve">FREITES, VALERIA CELESTE</t>
  </si>
  <si>
    <t xml:space="preserve">0351-156420840</t>
  </si>
  <si>
    <t xml:space="preserve">27338812324</t>
  </si>
  <si>
    <t xml:space="preserve">DELGADO, JUAN JOSE</t>
  </si>
  <si>
    <t xml:space="preserve">03574-412777</t>
  </si>
  <si>
    <t xml:space="preserve">CANADA DE MACHADO</t>
  </si>
  <si>
    <t xml:space="preserve">20346716011</t>
  </si>
  <si>
    <t xml:space="preserve">JIMENEZ, ESTEBAN RAMON</t>
  </si>
  <si>
    <t xml:space="preserve">03537-15600331</t>
  </si>
  <si>
    <t xml:space="preserve">20341193045</t>
  </si>
  <si>
    <t xml:space="preserve">CHIRDO, SANTIAGO</t>
  </si>
  <si>
    <t xml:space="preserve">0358-4057613</t>
  </si>
  <si>
    <t xml:space="preserve">GENERAL DEHEZA</t>
  </si>
  <si>
    <t xml:space="preserve">20343444118</t>
  </si>
  <si>
    <t xml:space="preserve">DANIEL, MARTIN</t>
  </si>
  <si>
    <t xml:space="preserve">03537-471206</t>
  </si>
  <si>
    <t xml:space="preserve">JUSTINIANO POSSE</t>
  </si>
  <si>
    <t xml:space="preserve">20333090822</t>
  </si>
  <si>
    <t xml:space="preserve">KURZ, ROMINA GISELLA</t>
  </si>
  <si>
    <t xml:space="preserve">CANALS</t>
  </si>
  <si>
    <t xml:space="preserve">27341630792</t>
  </si>
  <si>
    <t xml:space="preserve">PERVIU, MAYCO RAFAEL</t>
  </si>
  <si>
    <t xml:space="preserve">03385-15504099</t>
  </si>
  <si>
    <t xml:space="preserve">COLONIA SANTA ANA</t>
  </si>
  <si>
    <t xml:space="preserve">20340858183</t>
  </si>
  <si>
    <t xml:space="preserve">NUÑEZ, FACUNDO</t>
  </si>
  <si>
    <t xml:space="preserve">03385-469516</t>
  </si>
  <si>
    <t xml:space="preserve">20344019097</t>
  </si>
  <si>
    <t xml:space="preserve">TREJO, MIGUEL ANGEL</t>
  </si>
  <si>
    <t xml:space="preserve">3534240150</t>
  </si>
  <si>
    <t xml:space="preserve">ARROYO ALGODON</t>
  </si>
  <si>
    <t xml:space="preserve">20346374463</t>
  </si>
  <si>
    <t xml:space="preserve">nole interesa</t>
  </si>
  <si>
    <t xml:space="preserve">RUFINETTO, MARIA EUGENIA</t>
  </si>
  <si>
    <t xml:space="preserve">ORDOÑEZ</t>
  </si>
  <si>
    <t xml:space="preserve">27337754886</t>
  </si>
  <si>
    <t xml:space="preserve">ALGARBE, JESICA BELEN</t>
  </si>
  <si>
    <t xml:space="preserve">3573415947</t>
  </si>
  <si>
    <t xml:space="preserve">27345051266</t>
  </si>
  <si>
    <t xml:space="preserve">ROJAS, CRISTIAN FABIAN</t>
  </si>
  <si>
    <t xml:space="preserve">3585619583</t>
  </si>
  <si>
    <t xml:space="preserve">20339278572</t>
  </si>
  <si>
    <t xml:space="preserve">LUJAN, ARIEL EDUARDO</t>
  </si>
  <si>
    <t xml:space="preserve">3385421293</t>
  </si>
  <si>
    <t xml:space="preserve">20344019674</t>
  </si>
  <si>
    <t xml:space="preserve">LUNA, CARLOS DAMIAN</t>
  </si>
  <si>
    <t xml:space="preserve">3537550289</t>
  </si>
  <si>
    <t xml:space="preserve">MORRISON</t>
  </si>
  <si>
    <t xml:space="preserve">20336031509</t>
  </si>
  <si>
    <t xml:space="preserve">ROMANO, CRISTIAN EMANUEL</t>
  </si>
  <si>
    <t xml:space="preserve">3532438485</t>
  </si>
  <si>
    <t xml:space="preserve">20343754354</t>
  </si>
  <si>
    <t xml:space="preserve">ROMERO, HUGO FREDY</t>
  </si>
  <si>
    <t xml:space="preserve">3513950040</t>
  </si>
  <si>
    <t xml:space="preserve">JESES MARIA</t>
  </si>
  <si>
    <t xml:space="preserve">20346376326</t>
  </si>
  <si>
    <t xml:space="preserve">CODICETTI, JAIRO NAHUEL</t>
  </si>
  <si>
    <t xml:space="preserve">3388511099</t>
  </si>
  <si>
    <t xml:space="preserve">SERRANO</t>
  </si>
  <si>
    <t xml:space="preserve">20340202628</t>
  </si>
  <si>
    <t xml:space="preserve">CAMPOS, JONATAN</t>
  </si>
  <si>
    <t xml:space="preserve">3546650899</t>
  </si>
  <si>
    <t xml:space="preserve">SANTA ROSA DE CALAMUCHITA</t>
  </si>
  <si>
    <t xml:space="preserve">20349267196</t>
  </si>
  <si>
    <t xml:space="preserve">CAMINO, DARIO NICOLAS</t>
  </si>
  <si>
    <t xml:space="preserve">3512057739</t>
  </si>
  <si>
    <t xml:space="preserve">20342907831</t>
  </si>
  <si>
    <t xml:space="preserve">PARDO, VERONICA ANDREA</t>
  </si>
  <si>
    <t xml:space="preserve">3513942441</t>
  </si>
  <si>
    <t xml:space="preserve">27339149068</t>
  </si>
  <si>
    <t xml:space="preserve">ALBORNOZ, FLORENCIA SILVINA</t>
  </si>
  <si>
    <t xml:space="preserve">27344571258</t>
  </si>
  <si>
    <t xml:space="preserve">CAMINOS, ROCHA RAUL MAXIMILIANO</t>
  </si>
  <si>
    <t xml:space="preserve">3574403304</t>
  </si>
  <si>
    <t xml:space="preserve">20338279923</t>
  </si>
  <si>
    <t xml:space="preserve">AMPOLI, DANIEL ALEJANDRO</t>
  </si>
  <si>
    <t xml:space="preserve">3534214496</t>
  </si>
  <si>
    <t xml:space="preserve">CARLOMAGNO</t>
  </si>
  <si>
    <t xml:space="preserve">23345665609</t>
  </si>
  <si>
    <t xml:space="preserve">MOLINA, ROQUE LUJAN</t>
  </si>
  <si>
    <t xml:space="preserve">3541 645389</t>
  </si>
  <si>
    <t xml:space="preserve">SANTA MARIA DE PUNILLA</t>
  </si>
  <si>
    <t xml:space="preserve">20333856833</t>
  </si>
  <si>
    <t xml:space="preserve">MORAL, MARCO ANTONIO</t>
  </si>
  <si>
    <t xml:space="preserve">3573432470</t>
  </si>
  <si>
    <t xml:space="preserve">20328891655</t>
  </si>
  <si>
    <t xml:space="preserve">No le interesa  Costos</t>
  </si>
  <si>
    <t xml:space="preserve">GÜEMES, LAURA VIRGINIA</t>
  </si>
  <si>
    <t xml:space="preserve">4861769</t>
  </si>
  <si>
    <t xml:space="preserve">DEPTO CAPITAL</t>
  </si>
  <si>
    <t xml:space="preserve">27337008025</t>
  </si>
  <si>
    <t xml:space="preserve">FUNES, DIEGO EZEQUIEL</t>
  </si>
  <si>
    <t xml:space="preserve">0358-4053485</t>
  </si>
  <si>
    <t xml:space="preserve">LAS PERDICES</t>
  </si>
  <si>
    <t xml:space="preserve">20328994233</t>
  </si>
  <si>
    <t xml:space="preserve">ROSSINI, ALBERTO DANIEL</t>
  </si>
  <si>
    <t xml:space="preserve">3855791526</t>
  </si>
  <si>
    <t xml:space="preserve">20336941718</t>
  </si>
  <si>
    <t xml:space="preserve">SUAREZ, EDGAR LEONARDO</t>
  </si>
  <si>
    <t xml:space="preserve">0351-155575681</t>
  </si>
  <si>
    <t xml:space="preserve">AEROPUERTO CORDOBA</t>
  </si>
  <si>
    <t xml:space="preserve">20337009515</t>
  </si>
  <si>
    <t xml:space="preserve">PRESENZA, FRANCO ARIEL</t>
  </si>
  <si>
    <t xml:space="preserve">0358-4051780</t>
  </si>
  <si>
    <t xml:space="preserve">20333237475</t>
  </si>
  <si>
    <t xml:space="preserve">BALMACEDA, ELVIO DAVID</t>
  </si>
  <si>
    <t xml:space="preserve">0353-1541209212</t>
  </si>
  <si>
    <t xml:space="preserve">20329659675</t>
  </si>
  <si>
    <t xml:space="preserve">MAINARDI, JUAN FACUNDO</t>
  </si>
  <si>
    <t xml:space="preserve">03533-455613</t>
  </si>
  <si>
    <t xml:space="preserve">LAS VARILLAS</t>
  </si>
  <si>
    <t xml:space="preserve">20335125380</t>
  </si>
  <si>
    <t xml:space="preserve">CUASOLO, ALBERTO</t>
  </si>
  <si>
    <t xml:space="preserve">03533-15416623</t>
  </si>
  <si>
    <t xml:space="preserve">20331718301</t>
  </si>
  <si>
    <t xml:space="preserve">BIANCIOTO, CESAR DAVID</t>
  </si>
  <si>
    <t xml:space="preserve">4911792</t>
  </si>
  <si>
    <t xml:space="preserve">VILLA NUEVA</t>
  </si>
  <si>
    <t xml:space="preserve">23335523989</t>
  </si>
  <si>
    <t xml:space="preserve">ALFONSO, HUGO CESAR</t>
  </si>
  <si>
    <t xml:space="preserve">03385-15470385</t>
  </si>
  <si>
    <t xml:space="preserve">20338815078</t>
  </si>
  <si>
    <t xml:space="preserve">CANULLO, EMANUEL ALEJANDRO</t>
  </si>
  <si>
    <t xml:space="preserve">03537-410070</t>
  </si>
  <si>
    <t xml:space="preserve">20329213871</t>
  </si>
  <si>
    <t xml:space="preserve">COMPAGNUCCI, MARIA NATALIA</t>
  </si>
  <si>
    <t xml:space="preserve">4819112</t>
  </si>
  <si>
    <t xml:space="preserve">BARRIO ALTO PALERMO</t>
  </si>
  <si>
    <t xml:space="preserve">27335351598</t>
  </si>
  <si>
    <t xml:space="preserve">ANTIVERO, PABLO JESUS</t>
  </si>
  <si>
    <t xml:space="preserve">0358-5090720</t>
  </si>
  <si>
    <t xml:space="preserve">CARNERILLO, DEPARTAMENTO JUARE</t>
  </si>
  <si>
    <t xml:space="preserve">20334969801</t>
  </si>
  <si>
    <t xml:space="preserve">JUAREZ, CARINA RAQUEL</t>
  </si>
  <si>
    <t xml:space="preserve">3518165709</t>
  </si>
  <si>
    <t xml:space="preserve">BARRIO PARQUE LICEO</t>
  </si>
  <si>
    <t xml:space="preserve">27350907438</t>
  </si>
  <si>
    <t xml:space="preserve">MAZEGA , MANUEL</t>
  </si>
  <si>
    <t xml:space="preserve">151111112</t>
  </si>
  <si>
    <t xml:space="preserve">20330988607</t>
  </si>
  <si>
    <t xml:space="preserve">GAMBOA, MAXIMILIANO</t>
  </si>
  <si>
    <t xml:space="preserve">1111111100</t>
  </si>
  <si>
    <t xml:space="preserve">20335125097</t>
  </si>
  <si>
    <t xml:space="preserve">VISCONTI, OSVALDO EMANUEL</t>
  </si>
  <si>
    <t xml:space="preserve">03472-587070</t>
  </si>
  <si>
    <t xml:space="preserve">SAN MARCOS</t>
  </si>
  <si>
    <t xml:space="preserve">20340381166</t>
  </si>
  <si>
    <t xml:space="preserve">GRIFFONE, GABRIEL GERMAN</t>
  </si>
  <si>
    <t xml:space="preserve">353715650799</t>
  </si>
  <si>
    <t xml:space="preserve">ESTACION BELL VILLE</t>
  </si>
  <si>
    <t xml:space="preserve">20333498139</t>
  </si>
  <si>
    <t xml:space="preserve">SPINSANTI, MARIA VICTORIA</t>
  </si>
  <si>
    <t xml:space="preserve">3516005887</t>
  </si>
  <si>
    <t xml:space="preserve">27335372315</t>
  </si>
  <si>
    <t xml:space="preserve">IRUSTA, MATIAS NICOLAS</t>
  </si>
  <si>
    <t xml:space="preserve">4238223</t>
  </si>
  <si>
    <t xml:space="preserve">20333611725</t>
  </si>
  <si>
    <t xml:space="preserve">LUJAN, LEANDRO LEONEL</t>
  </si>
  <si>
    <t xml:space="preserve">3575486105</t>
  </si>
  <si>
    <t xml:space="preserve">OBISPO TREJO</t>
  </si>
  <si>
    <t xml:space="preserve">20338618140</t>
  </si>
  <si>
    <t xml:space="preserve">MILANESIO, ELIANA</t>
  </si>
  <si>
    <t xml:space="preserve">3385593995</t>
  </si>
  <si>
    <t xml:space="preserve">LEGUIZAMON</t>
  </si>
  <si>
    <t xml:space="preserve">27328039066</t>
  </si>
  <si>
    <t xml:space="preserve">CERDA, MARIA DE LOS ANGELES</t>
  </si>
  <si>
    <t xml:space="preserve">3573498393</t>
  </si>
  <si>
    <t xml:space="preserve">27356693731</t>
  </si>
  <si>
    <t xml:space="preserve">QUINTEROS, BETIANA</t>
  </si>
  <si>
    <t xml:space="preserve">3537333752</t>
  </si>
  <si>
    <t xml:space="preserve">27333090126</t>
  </si>
  <si>
    <t xml:space="preserve">PAULTRONI, ROMAN JESUS</t>
  </si>
  <si>
    <t xml:space="preserve">3537660056</t>
  </si>
  <si>
    <t xml:space="preserve">20326465918</t>
  </si>
  <si>
    <t xml:space="preserve">segundo contacto</t>
  </si>
  <si>
    <t xml:space="preserve">LENCINA, PAMELA BEATRIZ</t>
  </si>
  <si>
    <t xml:space="preserve">1133564785</t>
  </si>
  <si>
    <t xml:space="preserve">TANTI</t>
  </si>
  <si>
    <t xml:space="preserve">27333389210</t>
  </si>
  <si>
    <t xml:space="preserve">Tiene Cami Salud</t>
  </si>
  <si>
    <t xml:space="preserve">ODDO, LEANDRO ALEXIS</t>
  </si>
  <si>
    <t xml:space="preserve">3513830171</t>
  </si>
  <si>
    <t xml:space="preserve">20333814421</t>
  </si>
  <si>
    <t xml:space="preserve">CARRANZA, PEDRO FEDERICO</t>
  </si>
  <si>
    <t xml:space="preserve">LA CARLOTA</t>
  </si>
  <si>
    <t xml:space="preserve">20332231139</t>
  </si>
  <si>
    <t xml:space="preserve">CASTILLO, EMANUEL EDUARDO</t>
  </si>
  <si>
    <t xml:space="preserve">3532409277</t>
  </si>
  <si>
    <t xml:space="preserve">20336993114</t>
  </si>
  <si>
    <t xml:space="preserve">CABREARA, CRISTIAN DAMIAN</t>
  </si>
  <si>
    <t xml:space="preserve">3515230869</t>
  </si>
  <si>
    <t xml:space="preserve">MALVINAS ARGENTINAS</t>
  </si>
  <si>
    <t xml:space="preserve">20330297221</t>
  </si>
  <si>
    <t xml:space="preserve">NAVARRO, ELBIO GONZALO</t>
  </si>
  <si>
    <t xml:space="preserve">152763120</t>
  </si>
  <si>
    <t xml:space="preserve">ALTO ALBERDI</t>
  </si>
  <si>
    <t xml:space="preserve">20326251535</t>
  </si>
  <si>
    <t xml:space="preserve">SOTO, ANGEL SILVERIO</t>
  </si>
  <si>
    <t xml:space="preserve">03463-15401642</t>
  </si>
  <si>
    <t xml:space="preserve">20333295823</t>
  </si>
  <si>
    <t xml:space="preserve">ACHAVAL, LUCIANO ANTONIO</t>
  </si>
  <si>
    <t xml:space="preserve">3525449959</t>
  </si>
  <si>
    <t xml:space="preserve">CORDOBA, UNIDAD POSTAL 19</t>
  </si>
  <si>
    <t xml:space="preserve">20328757355</t>
  </si>
  <si>
    <t xml:space="preserve">POLO, FRANCO GERMAN</t>
  </si>
  <si>
    <t xml:space="preserve">03537-15446527</t>
  </si>
  <si>
    <t xml:space="preserve">20323897515</t>
  </si>
  <si>
    <t xml:space="preserve">CANIZO, LUCIA EUGENIA</t>
  </si>
  <si>
    <t xml:space="preserve">03543-421010</t>
  </si>
  <si>
    <t xml:space="preserve">ALTO DE CASTILLO</t>
  </si>
  <si>
    <t xml:space="preserve">27321899027</t>
  </si>
  <si>
    <t xml:space="preserve">PEREZ, VERONICA NATALI</t>
  </si>
  <si>
    <t xml:space="preserve">03573-15499324</t>
  </si>
  <si>
    <t xml:space="preserve">27323895754</t>
  </si>
  <si>
    <t xml:space="preserve">VILLAGRAN, MARIA NOEL</t>
  </si>
  <si>
    <t xml:space="preserve">152390272</t>
  </si>
  <si>
    <t xml:space="preserve">27324066719</t>
  </si>
  <si>
    <t xml:space="preserve">DAGHERO, JESICA DEL VALLE</t>
  </si>
  <si>
    <t xml:space="preserve">03532-15431425</t>
  </si>
  <si>
    <t xml:space="preserve">23323696764</t>
  </si>
  <si>
    <t xml:space="preserve">MEZA, JORGE DANIEL</t>
  </si>
  <si>
    <t xml:space="preserve">03533-15499910</t>
  </si>
  <si>
    <t xml:space="preserve">20325203340</t>
  </si>
  <si>
    <t xml:space="preserve">VELAZQUEZ, DIEGO ERNESTO</t>
  </si>
  <si>
    <t xml:space="preserve">0358-155133721</t>
  </si>
  <si>
    <t xml:space="preserve">20325801957</t>
  </si>
  <si>
    <t xml:space="preserve">MONASTEROLO, VERONICA DANIELA</t>
  </si>
  <si>
    <t xml:space="preserve">03537-15583317</t>
  </si>
  <si>
    <t xml:space="preserve">27325998429</t>
  </si>
  <si>
    <t xml:space="preserve">GEA, LAURA INES</t>
  </si>
  <si>
    <t xml:space="preserve">RIO TERCERO</t>
  </si>
  <si>
    <t xml:space="preserve">27328616365</t>
  </si>
  <si>
    <t xml:space="preserve">GUDIÑO, CARLOS ALBERTO</t>
  </si>
  <si>
    <t xml:space="preserve">03573-433482</t>
  </si>
  <si>
    <t xml:space="preserve">EL CARRIZAL, VILLA DEL ROSARIO</t>
  </si>
  <si>
    <t xml:space="preserve">20323895555</t>
  </si>
  <si>
    <t xml:space="preserve">LIBARDI, YANINA ADRIANA</t>
  </si>
  <si>
    <t xml:space="preserve">427840</t>
  </si>
  <si>
    <t xml:space="preserve">27305887485</t>
  </si>
  <si>
    <t xml:space="preserve">FARIAS, MIGUEL ANGEL</t>
  </si>
  <si>
    <t xml:space="preserve">03524-416852</t>
  </si>
  <si>
    <t xml:space="preserve">VILLA DEL TOTORAL</t>
  </si>
  <si>
    <t xml:space="preserve">20327051254</t>
  </si>
  <si>
    <t xml:space="preserve">DANIEL, GONZALO</t>
  </si>
  <si>
    <t xml:space="preserve">03537-652043</t>
  </si>
  <si>
    <t xml:space="preserve">24324296448</t>
  </si>
  <si>
    <t xml:space="preserve">QUINTEROS, GUSTAVO ANDRES</t>
  </si>
  <si>
    <t xml:space="preserve">3584907175</t>
  </si>
  <si>
    <t xml:space="preserve">20323973815</t>
  </si>
  <si>
    <t xml:space="preserve">CORELLANO, MARCOS EZEQUIEL</t>
  </si>
  <si>
    <t xml:space="preserve">3385501902</t>
  </si>
  <si>
    <t xml:space="preserve">20329293948</t>
  </si>
  <si>
    <t xml:space="preserve">VERA, JUAN MANUEL</t>
  </si>
  <si>
    <t xml:space="preserve">3534113358</t>
  </si>
  <si>
    <t xml:space="preserve">LA PLAYOSA</t>
  </si>
  <si>
    <t xml:space="preserve">20327046811</t>
  </si>
  <si>
    <t xml:space="preserve">MOYANO, JUAN PABLO</t>
  </si>
  <si>
    <t xml:space="preserve">03534-15335067</t>
  </si>
  <si>
    <t xml:space="preserve">20295137852</t>
  </si>
  <si>
    <t xml:space="preserve">RODRIGUEZ, CARINA SOLEDAD</t>
  </si>
  <si>
    <t xml:space="preserve">03463-15404713</t>
  </si>
  <si>
    <t xml:space="preserve">27298363025</t>
  </si>
  <si>
    <t xml:space="preserve">PEREYRA, SEBASTIAN ROMAN</t>
  </si>
  <si>
    <t xml:space="preserve">03573-454483</t>
  </si>
  <si>
    <t xml:space="preserve">20296643719</t>
  </si>
  <si>
    <t xml:space="preserve">GRENAT, MARTIN DAVID</t>
  </si>
  <si>
    <t xml:space="preserve">4914534</t>
  </si>
  <si>
    <t xml:space="preserve">23295132329</t>
  </si>
  <si>
    <t xml:space="preserve">Llamar despues de ls 18hs</t>
  </si>
  <si>
    <t xml:space="preserve">GOMEZ, MARCOS MARTIN</t>
  </si>
  <si>
    <t xml:space="preserve">153007523</t>
  </si>
  <si>
    <t xml:space="preserve">20297102169</t>
  </si>
  <si>
    <t xml:space="preserve">tiene apros trabaja en un colegio</t>
  </si>
  <si>
    <t xml:space="preserve">CEBALLOS, FATIMA LORENA</t>
  </si>
  <si>
    <t xml:space="preserve">03572-693569</t>
  </si>
  <si>
    <t xml:space="preserve">27300873893</t>
  </si>
  <si>
    <t xml:space="preserve">Contestador</t>
  </si>
  <si>
    <t xml:space="preserve">PUSCAMA, IVAN DARIO</t>
  </si>
  <si>
    <t xml:space="preserve">03385-15521337</t>
  </si>
  <si>
    <t xml:space="preserve">20300315756</t>
  </si>
  <si>
    <t xml:space="preserve">PISANI, SANDRA YANINA</t>
  </si>
  <si>
    <t xml:space="preserve">03385-15403965</t>
  </si>
  <si>
    <t xml:space="preserve">27300315939</t>
  </si>
  <si>
    <t xml:space="preserve">LUJAN, CARLOS GERMAN</t>
  </si>
  <si>
    <t xml:space="preserve">03532-422590</t>
  </si>
  <si>
    <t xml:space="preserve">20296168670</t>
  </si>
  <si>
    <t xml:space="preserve">BECHERAN, FORTUNATO CEFERINO</t>
  </si>
  <si>
    <t xml:space="preserve">03385-15523022</t>
  </si>
  <si>
    <t xml:space="preserve">20298064716</t>
  </si>
  <si>
    <t xml:space="preserve">LEON, RAMON ALEJANDRO</t>
  </si>
  <si>
    <t xml:space="preserve">03521-403840</t>
  </si>
  <si>
    <t xml:space="preserve">RAYO CORTADO</t>
  </si>
  <si>
    <t xml:space="preserve">20297948270</t>
  </si>
  <si>
    <t xml:space="preserve">OLGUIN, NELSON SANTIAGO</t>
  </si>
  <si>
    <t xml:space="preserve">03571-549514</t>
  </si>
  <si>
    <t xml:space="preserve">EL QUEBRACHO, ALMAFUERTE, DEPA</t>
  </si>
  <si>
    <t xml:space="preserve">23295983299</t>
  </si>
  <si>
    <t xml:space="preserve">RODRIGUEZ, MARCOS</t>
  </si>
  <si>
    <t xml:space="preserve">222222222</t>
  </si>
  <si>
    <t xml:space="preserve">20299443516</t>
  </si>
  <si>
    <t xml:space="preserve">BONACOSI, LUCIANO</t>
  </si>
  <si>
    <t xml:space="preserve">20298527554</t>
  </si>
  <si>
    <t xml:space="preserve">Numero Repetido</t>
  </si>
  <si>
    <t xml:space="preserve">MORAN, PAOLA ELISABETH</t>
  </si>
  <si>
    <t xml:space="preserve">3385496104</t>
  </si>
  <si>
    <t xml:space="preserve">23300315844</t>
  </si>
  <si>
    <t xml:space="preserve">Sin Linea</t>
  </si>
  <si>
    <t xml:space="preserve">JAUREGUIALZO, LAURA</t>
  </si>
  <si>
    <t xml:space="preserve">27297338175</t>
  </si>
  <si>
    <t xml:space="preserve">OLMEDO, GUSTAVO JAVIER</t>
  </si>
  <si>
    <t xml:space="preserve">3385503556</t>
  </si>
  <si>
    <t xml:space="preserve">20300959785</t>
  </si>
  <si>
    <t xml:space="preserve">IRUSTA, VANESA ANDREA</t>
  </si>
  <si>
    <t xml:space="preserve">3541579084</t>
  </si>
  <si>
    <t xml:space="preserve">VILLA CARLOS PAZ</t>
  </si>
  <si>
    <t xml:space="preserve">27299397942</t>
  </si>
  <si>
    <t xml:space="preserve">MORALES, NAHUEL LUIS</t>
  </si>
  <si>
    <t xml:space="preserve">1158563370</t>
  </si>
  <si>
    <t xml:space="preserve">GENERAL FOTHERINGHAM</t>
  </si>
  <si>
    <t xml:space="preserve">20300394338</t>
  </si>
  <si>
    <t xml:space="preserve">Contacto BS AS</t>
  </si>
  <si>
    <t xml:space="preserve">GOMEZ, JORGE EDUARDO</t>
  </si>
  <si>
    <t xml:space="preserve">3385461353</t>
  </si>
  <si>
    <t xml:space="preserve">20296138739</t>
  </si>
  <si>
    <t xml:space="preserve">HERRERA, FRANCO RAMON</t>
  </si>
  <si>
    <t xml:space="preserve">3512488802</t>
  </si>
  <si>
    <t xml:space="preserve">BARRIO ALTAMIRA</t>
  </si>
  <si>
    <t xml:space="preserve">23292034539</t>
  </si>
  <si>
    <t xml:space="preserve">GUTIERREZ, RAUL ALBERTO</t>
  </si>
  <si>
    <t xml:space="preserve">4512892</t>
  </si>
  <si>
    <t xml:space="preserve">23290623219</t>
  </si>
  <si>
    <t xml:space="preserve">GARCIA, FERNANDA V.</t>
  </si>
  <si>
    <t xml:space="preserve">351 2059523</t>
  </si>
  <si>
    <t xml:space="preserve">23296088404</t>
  </si>
  <si>
    <t xml:space="preserve">RUIZ, DIAZ CLAUDIO ALEJANDRO</t>
  </si>
  <si>
    <t xml:space="preserve">3584054072</t>
  </si>
  <si>
    <t xml:space="preserve">20285124736</t>
  </si>
  <si>
    <t xml:space="preserve">RAMALLO, JUAN JOSE</t>
  </si>
  <si>
    <t xml:space="preserve">351 6188860</t>
  </si>
  <si>
    <t xml:space="preserve">20292540621</t>
  </si>
  <si>
    <t xml:space="preserve">HERRERA, DANIEL GUSTAVO</t>
  </si>
  <si>
    <t xml:space="preserve">03468-15528393</t>
  </si>
  <si>
    <t xml:space="preserve">20295207540</t>
  </si>
  <si>
    <t xml:space="preserve">CABRERA, JAVIER ALEJANDRO</t>
  </si>
  <si>
    <t xml:space="preserve">0353-155653635</t>
  </si>
  <si>
    <t xml:space="preserve">POZO DEL MOLLE, DEPARTAMENTO R</t>
  </si>
  <si>
    <t xml:space="preserve">20292848863</t>
  </si>
  <si>
    <t xml:space="preserve">FARIAS, ALEJANDRO GABRIEL</t>
  </si>
  <si>
    <t xml:space="preserve">03525-15439318</t>
  </si>
  <si>
    <t xml:space="preserve">CAÑADA DE LUQUE</t>
  </si>
  <si>
    <t xml:space="preserve">20292451629</t>
  </si>
  <si>
    <t xml:space="preserve">BUSTOS, RAMON HORACIO</t>
  </si>
  <si>
    <t xml:space="preserve">03525-15439531</t>
  </si>
  <si>
    <t xml:space="preserve">CAMPO DE LAS PIEDRAS</t>
  </si>
  <si>
    <t xml:space="preserve">20289899139</t>
  </si>
  <si>
    <t xml:space="preserve">CID, JOSEFA DEL PILAR</t>
  </si>
  <si>
    <t xml:space="preserve">03573-431973</t>
  </si>
  <si>
    <t xml:space="preserve">27295625835</t>
  </si>
  <si>
    <t xml:space="preserve">BARRAZA, JORGE GASTON</t>
  </si>
  <si>
    <t xml:space="preserve">03385-15402298</t>
  </si>
  <si>
    <t xml:space="preserve">Cerrado</t>
  </si>
  <si>
    <t xml:space="preserve">GS200</t>
  </si>
  <si>
    <t xml:space="preserve">20290006938</t>
  </si>
  <si>
    <t xml:space="preserve">AGUIRRE, PABLO HORACIO</t>
  </si>
  <si>
    <t xml:space="preserve">03385-522495</t>
  </si>
  <si>
    <t xml:space="preserve">23293522049</t>
  </si>
  <si>
    <t xml:space="preserve">GONZALEZ, SANDRA NATALIA</t>
  </si>
  <si>
    <t xml:space="preserve">0353-154782674</t>
  </si>
  <si>
    <t xml:space="preserve">27292538133</t>
  </si>
  <si>
    <t xml:space="preserve">DIAZ, MIRIAM GLADYS</t>
  </si>
  <si>
    <t xml:space="preserve">03525-416343</t>
  </si>
  <si>
    <t xml:space="preserve">CAROYA</t>
  </si>
  <si>
    <t xml:space="preserve">23287133944</t>
  </si>
  <si>
    <t xml:space="preserve">MARTINENGO, VERONICA NATALIA</t>
  </si>
  <si>
    <t xml:space="preserve">3537-596725</t>
  </si>
  <si>
    <t xml:space="preserve">27293739671</t>
  </si>
  <si>
    <t xml:space="preserve">MIOTTI, NICOLAS OMAR</t>
  </si>
  <si>
    <t xml:space="preserve">3537605336</t>
  </si>
  <si>
    <t xml:space="preserve">20287578068</t>
  </si>
  <si>
    <t xml:space="preserve">ZULPO, EMANUEL EDUARDO</t>
  </si>
  <si>
    <t xml:space="preserve">3537557044</t>
  </si>
  <si>
    <t xml:space="preserve">20285808058</t>
  </si>
  <si>
    <t xml:space="preserve">SANCHEZ, CELESTE NOELIA</t>
  </si>
  <si>
    <t xml:space="preserve">3584449265</t>
  </si>
  <si>
    <t xml:space="preserve">SANTA EUFEMIA</t>
  </si>
  <si>
    <t xml:space="preserve">27293787277</t>
  </si>
  <si>
    <t xml:space="preserve">RAMALLO, ROMINA SOLEDAD</t>
  </si>
  <si>
    <t xml:space="preserve">3385448509</t>
  </si>
  <si>
    <t xml:space="preserve">27292758192</t>
  </si>
  <si>
    <t xml:space="preserve">TIRANTI, DIEGO MARTIN</t>
  </si>
  <si>
    <t xml:space="preserve">3537657292</t>
  </si>
  <si>
    <t xml:space="preserve">24289745056</t>
  </si>
  <si>
    <t xml:space="preserve">ACUÑA, MAURICIO ESTEBAN</t>
  </si>
  <si>
    <t xml:space="preserve">3512064785</t>
  </si>
  <si>
    <t xml:space="preserve">20284271603</t>
  </si>
  <si>
    <t xml:space="preserve">BOIERO, CARLOS RAUL</t>
  </si>
  <si>
    <t xml:space="preserve">3535176625</t>
  </si>
  <si>
    <t xml:space="preserve">24284015289</t>
  </si>
  <si>
    <t xml:space="preserve">MERLO, IVANA NATALIA</t>
  </si>
  <si>
    <t xml:space="preserve">03541-15578022</t>
  </si>
  <si>
    <t xml:space="preserve">27287669211</t>
  </si>
  <si>
    <t xml:space="preserve">DEL PINO, ESTEBAN DANIEL</t>
  </si>
  <si>
    <t xml:space="preserve">0351-4583198</t>
  </si>
  <si>
    <t xml:space="preserve">23284271319</t>
  </si>
  <si>
    <t xml:space="preserve">BASEDAS, FACUNDO</t>
  </si>
  <si>
    <t xml:space="preserve">0000S/N</t>
  </si>
  <si>
    <t xml:space="preserve">20285827710</t>
  </si>
  <si>
    <t xml:space="preserve">SALTO, MARTIN GUSTAVO</t>
  </si>
  <si>
    <t xml:space="preserve">03573-15692339</t>
  </si>
  <si>
    <t xml:space="preserve">20284069960</t>
  </si>
  <si>
    <t xml:space="preserve">ANTAS, CARLOS RAUL</t>
  </si>
  <si>
    <t xml:space="preserve">03571-1556791</t>
  </si>
  <si>
    <t xml:space="preserve">20284871457</t>
  </si>
  <si>
    <t xml:space="preserve">HERRERA, JORGE ABEL</t>
  </si>
  <si>
    <t xml:space="preserve">03385-405280</t>
  </si>
  <si>
    <t xml:space="preserve">23285778689</t>
  </si>
  <si>
    <t xml:space="preserve">OROZCO, MERCADO MARIA BELEN</t>
  </si>
  <si>
    <t xml:space="preserve">03463-15404061</t>
  </si>
  <si>
    <t xml:space="preserve">27285827855</t>
  </si>
  <si>
    <t xml:space="preserve">OLGUIN, DIEGO MARCELO</t>
  </si>
  <si>
    <t xml:space="preserve">03571-599583</t>
  </si>
  <si>
    <t xml:space="preserve">ALMAFUERTE</t>
  </si>
  <si>
    <t xml:space="preserve">20280255514</t>
  </si>
  <si>
    <t xml:space="preserve">OLIVERO, GASTON OSVALDO</t>
  </si>
  <si>
    <t xml:space="preserve">0351-156636295</t>
  </si>
  <si>
    <t xml:space="preserve">20284554656</t>
  </si>
  <si>
    <t xml:space="preserve">GUERRA, MARCOS MARTIN</t>
  </si>
  <si>
    <t xml:space="preserve">3512112290</t>
  </si>
  <si>
    <t xml:space="preserve">20288515566</t>
  </si>
  <si>
    <t xml:space="preserve">PAIZ, PAOLA SOLEDAD</t>
  </si>
  <si>
    <t xml:space="preserve">00000353-4771247</t>
  </si>
  <si>
    <t xml:space="preserve">UCACHA</t>
  </si>
  <si>
    <t xml:space="preserve">23288579954</t>
  </si>
  <si>
    <t xml:space="preserve">SUAREZ, ZANDRI MORA</t>
  </si>
  <si>
    <t xml:space="preserve">03532-15469714</t>
  </si>
  <si>
    <t xml:space="preserve">20285808716</t>
  </si>
  <si>
    <t xml:space="preserve">RODRIGUEZ, MAURICIO</t>
  </si>
  <si>
    <t xml:space="preserve">3385522931</t>
  </si>
  <si>
    <t xml:space="preserve">23285779669</t>
  </si>
  <si>
    <t xml:space="preserve">ORELLANO, MARIA LILIANA</t>
  </si>
  <si>
    <t xml:space="preserve">3537603850</t>
  </si>
  <si>
    <t xml:space="preserve">27288267826</t>
  </si>
  <si>
    <t xml:space="preserve">FLORES, MIRTHA VERONICA</t>
  </si>
  <si>
    <t xml:space="preserve">3584598005</t>
  </si>
  <si>
    <t xml:space="preserve">27286995735</t>
  </si>
  <si>
    <t xml:space="preserve">VELIZ, REMIGIO</t>
  </si>
  <si>
    <t xml:space="preserve">3704290335</t>
  </si>
  <si>
    <t xml:space="preserve">20286249796</t>
  </si>
  <si>
    <t xml:space="preserve">FAVA, MARIA ELENA</t>
  </si>
  <si>
    <t xml:space="preserve">3385445404</t>
  </si>
  <si>
    <t xml:space="preserve">VILLA ROSSI</t>
  </si>
  <si>
    <t xml:space="preserve">27285779540</t>
  </si>
  <si>
    <t xml:space="preserve">QUAGLIA, ARMANDO ANGEL</t>
  </si>
  <si>
    <t xml:space="preserve">353715550914</t>
  </si>
  <si>
    <t xml:space="preserve">23279967879</t>
  </si>
  <si>
    <t xml:space="preserve">FARIAS, DIEGO JAVIER</t>
  </si>
  <si>
    <t xml:space="preserve">3515302254</t>
  </si>
  <si>
    <t xml:space="preserve">BARRIO MULLER</t>
  </si>
  <si>
    <t xml:space="preserve">20284300085</t>
  </si>
  <si>
    <t xml:space="preserve">QUINTEROS, DIEGO ESTEBAN</t>
  </si>
  <si>
    <t xml:space="preserve">3513232877</t>
  </si>
  <si>
    <t xml:space="preserve">BARRIO MARQUES DE SOBREMONTE</t>
  </si>
  <si>
    <t xml:space="preserve">20286563563</t>
  </si>
  <si>
    <t xml:space="preserve">volver a llamar mañana</t>
  </si>
  <si>
    <t xml:space="preserve">BELLUZZO, MATIAS EMANUEL</t>
  </si>
  <si>
    <t xml:space="preserve">3573467977</t>
  </si>
  <si>
    <t xml:space="preserve">20288809179</t>
  </si>
  <si>
    <t xml:space="preserve">LOYOLA, LUCIANA NOEMI</t>
  </si>
  <si>
    <t xml:space="preserve">35415377328</t>
  </si>
  <si>
    <t xml:space="preserve">27281272425</t>
  </si>
  <si>
    <t xml:space="preserve">ROMERO, JUAN CARLOS</t>
  </si>
  <si>
    <t xml:space="preserve">351 2059692</t>
  </si>
  <si>
    <t xml:space="preserve">20277723531</t>
  </si>
  <si>
    <t xml:space="preserve">BUSTAMANTE, FERNANDO DAVID</t>
  </si>
  <si>
    <t xml:space="preserve">0351-155588727</t>
  </si>
  <si>
    <t xml:space="preserve">20279579225</t>
  </si>
  <si>
    <t xml:space="preserve">RUIZ, DANIELA MARINA</t>
  </si>
  <si>
    <t xml:space="preserve">03463-420098</t>
  </si>
  <si>
    <t xml:space="preserve">27273369088</t>
  </si>
  <si>
    <t xml:space="preserve">SARMIENTO, MANUEL</t>
  </si>
  <si>
    <t xml:space="preserve">3517326749</t>
  </si>
  <si>
    <t xml:space="preserve">20279570341</t>
  </si>
  <si>
    <t xml:space="preserve">GUTIERREZ, RAMON DARIO</t>
  </si>
  <si>
    <t xml:space="preserve">03533-15681238</t>
  </si>
  <si>
    <t xml:space="preserve">20277363535</t>
  </si>
  <si>
    <t xml:space="preserve">BOETTO, GRACIELA MERCEDES</t>
  </si>
  <si>
    <t xml:space="preserve">03532-15406980</t>
  </si>
  <si>
    <t xml:space="preserve">27272287916</t>
  </si>
  <si>
    <t xml:space="preserve">CAVALLO, MAURICIO HECTOR</t>
  </si>
  <si>
    <t xml:space="preserve">03533-15683950</t>
  </si>
  <si>
    <t xml:space="preserve">20273344544</t>
  </si>
  <si>
    <t xml:space="preserve">CLEMENTE, NATALIA</t>
  </si>
  <si>
    <t xml:space="preserve">03533-15686418</t>
  </si>
  <si>
    <t xml:space="preserve">27273344999</t>
  </si>
  <si>
    <t xml:space="preserve">SANCHEZ, LUCAS ALBERTO</t>
  </si>
  <si>
    <t xml:space="preserve">03385-15449789</t>
  </si>
  <si>
    <t xml:space="preserve">20275199320</t>
  </si>
  <si>
    <t xml:space="preserve">CARANDO, SERGIO MIGUEL</t>
  </si>
  <si>
    <t xml:space="preserve">0351-4114790</t>
  </si>
  <si>
    <t xml:space="preserve">EL ARAÑADO</t>
  </si>
  <si>
    <t xml:space="preserve">23275720909</t>
  </si>
  <si>
    <t xml:space="preserve">OCAMPO, CARLOS DANIEL</t>
  </si>
  <si>
    <t xml:space="preserve">03577-15678477</t>
  </si>
  <si>
    <t xml:space="preserve">20274453282</t>
  </si>
  <si>
    <t xml:space="preserve">FERNANDEZ, EMANUEL GASTON</t>
  </si>
  <si>
    <t xml:space="preserve">03573-402227</t>
  </si>
  <si>
    <t xml:space="preserve">20278378528</t>
  </si>
  <si>
    <t xml:space="preserve">SALGADO, LUCAS DANIEL</t>
  </si>
  <si>
    <t xml:space="preserve">03385-4238795</t>
  </si>
  <si>
    <t xml:space="preserve">LA CAUTIVA</t>
  </si>
  <si>
    <t xml:space="preserve">20274862395</t>
  </si>
  <si>
    <t xml:space="preserve">GIMENEZ, DAVID LEONARDO</t>
  </si>
  <si>
    <t xml:space="preserve">03385-15404653</t>
  </si>
  <si>
    <t xml:space="preserve">GENERAL LAVALLE</t>
  </si>
  <si>
    <t xml:space="preserve">20272934240</t>
  </si>
  <si>
    <t xml:space="preserve">IRIARTE, DIEGO GUSTAVO</t>
  </si>
  <si>
    <t xml:space="preserve">0358-3436490</t>
  </si>
  <si>
    <t xml:space="preserve">20282589088</t>
  </si>
  <si>
    <t xml:space="preserve">SPOSETTI, DANIEL HILARIO</t>
  </si>
  <si>
    <t xml:space="preserve">3512391453</t>
  </si>
  <si>
    <t xml:space="preserve">MI GRANJA</t>
  </si>
  <si>
    <t xml:space="preserve">20273604627</t>
  </si>
  <si>
    <t xml:space="preserve">Llamar 20hs</t>
  </si>
  <si>
    <t xml:space="preserve">AGUILERA, RAMON</t>
  </si>
  <si>
    <t xml:space="preserve">0261-156075761</t>
  </si>
  <si>
    <t xml:space="preserve">20277638631</t>
  </si>
  <si>
    <t xml:space="preserve">RIVAROLA, SERGIO HORACIO</t>
  </si>
  <si>
    <t xml:space="preserve">00000351-4238223</t>
  </si>
  <si>
    <t xml:space="preserve">20276969340</t>
  </si>
  <si>
    <t xml:space="preserve">GROSSO, COMBA MARIA LAURA</t>
  </si>
  <si>
    <t xml:space="preserve">3571425372</t>
  </si>
  <si>
    <t xml:space="preserve">27278919531</t>
  </si>
  <si>
    <t xml:space="preserve">FRANCIONI, ALEJANDRO ENRIQUE</t>
  </si>
  <si>
    <t xml:space="preserve">3467-445884</t>
  </si>
  <si>
    <t xml:space="preserve">20273956264</t>
  </si>
  <si>
    <t xml:space="preserve">CRAGNOLINI, JOSE LUIS</t>
  </si>
  <si>
    <t xml:space="preserve">3585174893</t>
  </si>
  <si>
    <t xml:space="preserve">20281037448</t>
  </si>
  <si>
    <t xml:space="preserve">BAEZ, LORENA VERONICA</t>
  </si>
  <si>
    <t xml:space="preserve">3585 17-4893</t>
  </si>
  <si>
    <t xml:space="preserve">27278964529</t>
  </si>
  <si>
    <t xml:space="preserve">PEREZ, DIEGO J.</t>
  </si>
  <si>
    <t xml:space="preserve">3516109090</t>
  </si>
  <si>
    <t xml:space="preserve">20269059290</t>
  </si>
  <si>
    <t xml:space="preserve">PLAN BASICO MTR</t>
  </si>
  <si>
    <t xml:space="preserve">REYNA, CRISTIAN O.</t>
  </si>
  <si>
    <t xml:space="preserve">3518636726</t>
  </si>
  <si>
    <t xml:space="preserve">20267442917</t>
  </si>
  <si>
    <t xml:space="preserve">MATTIS, GABRIELA DEL VALLE</t>
  </si>
  <si>
    <t xml:space="preserve">49016125</t>
  </si>
  <si>
    <t xml:space="preserve">27266463826</t>
  </si>
  <si>
    <t xml:space="preserve">OLMO, LUCAS EMANUEL</t>
  </si>
  <si>
    <t xml:space="preserve">000003543-433636</t>
  </si>
  <si>
    <t xml:space="preserve">MENDIOLAZA</t>
  </si>
  <si>
    <t xml:space="preserve">23271744749</t>
  </si>
  <si>
    <t xml:space="preserve">AVILA, HECTOR ANDRES</t>
  </si>
  <si>
    <t xml:space="preserve">0351-4820743</t>
  </si>
  <si>
    <t xml:space="preserve">20272480738</t>
  </si>
  <si>
    <t xml:space="preserve">LUDUEÑA, JOSE LUIS</t>
  </si>
  <si>
    <t xml:space="preserve">03576-15413961</t>
  </si>
  <si>
    <t xml:space="preserve">SACANTA</t>
  </si>
  <si>
    <t xml:space="preserve">23269163089</t>
  </si>
  <si>
    <t xml:space="preserve">MORA, LUCAS MATIAS</t>
  </si>
  <si>
    <t xml:space="preserve">000003851-4577609</t>
  </si>
  <si>
    <t xml:space="preserve">20281141075</t>
  </si>
  <si>
    <t xml:space="preserve">IBARRA, MARIA DEL CONSUELO</t>
  </si>
  <si>
    <t xml:space="preserve">03573-15451261</t>
  </si>
  <si>
    <t xml:space="preserve">27272220714</t>
  </si>
  <si>
    <t xml:space="preserve">RAMIRE, JORGE DANIEL</t>
  </si>
  <si>
    <t xml:space="preserve">20270181717</t>
  </si>
  <si>
    <t xml:space="preserve">PAEZ, VERONICA NATALIA</t>
  </si>
  <si>
    <t xml:space="preserve">27270409909</t>
  </si>
  <si>
    <t xml:space="preserve">PEREZ, DIEGO JORGE</t>
  </si>
  <si>
    <t xml:space="preserve">BARRIO BELGRANO,DEPTO. PRESIDE</t>
  </si>
  <si>
    <t xml:space="preserve">23269743689</t>
  </si>
  <si>
    <t xml:space="preserve">RESUMEN COMERCIAL</t>
  </si>
  <si>
    <t xml:space="preserve">POR ESTADO</t>
  </si>
  <si>
    <t xml:space="preserve">POR COMERCIAL</t>
  </si>
  <si>
    <t xml:space="preserve">VENTAS GS200</t>
  </si>
  <si>
    <t xml:space="preserve">VENTAS GS100</t>
  </si>
  <si>
    <t xml:space="preserve">TOTAL LEADS</t>
  </si>
  <si>
    <t xml:space="preserve">PLAN_VENDIDO</t>
  </si>
  <si>
    <t xml:space="preserve">GS100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</si>
</sst>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"/>
    <numFmt numFmtId="166" formatCode="@"/>
    <numFmt numFmtId="167" formatCode="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EAF0FA"/>
        <bgColor rgb="FFFFFFFF"/>
      </patternFill>
    </fill>
    <fill>
      <patternFill patternType="solid">
        <fgColor rgb="FF1F3864"/>
        <bgColor rgb="FF333333"/>
      </patternFill>
    </fill>
    <fill>
      <patternFill patternType="solid">
        <fgColor rgb="FFD9D9D9"/>
        <bgColor rgb="FFBDD7EE"/>
      </patternFill>
    </fill>
    <fill>
      <patternFill patternType="solid">
        <fgColor rgb="FFBDD7EE"/>
        <bgColor rgb="FFD9D9D9"/>
      </patternFill>
    </fill>
    <fill>
      <patternFill patternType="solid">
        <fgColor rgb="FFFFEB9C"/>
        <bgColor rgb="FFFFFFCC"/>
      </patternFill>
    </fill>
    <fill>
      <patternFill patternType="solid">
        <fgColor rgb="FFC6EFCE"/>
        <bgColor rgb="FFD9D9D9"/>
      </patternFill>
    </fill>
    <fill>
      <patternFill patternType="solid">
        <fgColor rgb="FFFFC7CE"/>
        <bgColor rgb="FFD9D9D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6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6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2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 patternType="solid">
          <fgColor rgb="FF1F3864"/>
          <bgColor rgb="FF000000"/>
        </patternFill>
      </fill>
    </dxf>
    <dxf>
      <fill>
        <patternFill patternType="solid">
          <fgColor rgb="FFEAF0F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BDD7EE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ont>
        <name val="Arial"/>
        <charset val="1"/>
        <family val="0"/>
        <b val="1"/>
        <sz val="10"/>
      </font>
      <fill>
        <patternFill>
          <bgColor rgb="FFD9D9D9"/>
        </patternFill>
      </fill>
    </dxf>
    <dxf>
      <font>
        <name val="Arial"/>
        <charset val="1"/>
        <family val="0"/>
        <b val="1"/>
        <sz val="10"/>
      </font>
      <fill>
        <patternFill>
          <bgColor rgb="FFBDD7EE"/>
        </patternFill>
      </fill>
    </dxf>
    <dxf>
      <font>
        <name val="Arial"/>
        <charset val="1"/>
        <family val="0"/>
        <b val="1"/>
        <sz val="10"/>
      </font>
      <fill>
        <patternFill>
          <bgColor rgb="FFFFEB9C"/>
        </patternFill>
      </fill>
    </dxf>
    <dxf>
      <font>
        <name val="Arial"/>
        <charset val="1"/>
        <family val="0"/>
        <b val="1"/>
        <sz val="10"/>
      </font>
      <fill>
        <patternFill>
          <bgColor rgb="FFC6EFCE"/>
        </patternFill>
      </fill>
    </dxf>
    <dxf>
      <font>
        <name val="Arial"/>
        <charset val="1"/>
        <family val="0"/>
        <b val="1"/>
        <sz val="10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EAF0FA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D9D9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"/>
    <col collapsed="false" customWidth="true" hidden="false" outlineLevel="0" max="3" min="3" style="0" width="28"/>
    <col collapsed="false" customWidth="true" hidden="false" outlineLevel="0" max="4" min="4" style="0" width="16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7" min="7" style="0" width="18"/>
    <col collapsed="false" customWidth="true" hidden="false" outlineLevel="0" max="8" min="8" style="0" width="14"/>
    <col collapsed="false" customWidth="true" hidden="false" outlineLevel="0" max="9" min="9" style="0" width="12"/>
    <col collapsed="false" customWidth="true" hidden="false" outlineLevel="0" max="10" min="10" style="0" width="13"/>
    <col collapsed="false" customWidth="true" hidden="false" outlineLevel="0" max="11" min="11" style="0" width="12"/>
    <col collapsed="false" customWidth="true" hidden="false" outlineLevel="0" max="12" min="12" style="0" width="16"/>
    <col collapsed="false" customWidth="true" hidden="false" outlineLevel="0" max="13" min="13" style="0" width="24"/>
    <col collapsed="false" customWidth="true" hidden="false" outlineLevel="0" max="14" min="14" style="0" width="18"/>
    <col collapsed="false" customWidth="true" hidden="false" outlineLevel="0" max="15" min="15" style="0" width="20"/>
    <col collapsed="false" customWidth="true" hidden="false" outlineLevel="0" max="16" min="16" style="0" width="40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31.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</row>
    <row r="3" customFormat="false" ht="18" hidden="false" customHeight="true" outlineLevel="0" collapsed="false">
      <c r="A3" s="3" t="n">
        <v>46223</v>
      </c>
      <c r="B3" s="4" t="str">
        <f aca="false">IF(A3="","",TEXT(A3,"MM-YYYY"))</f>
        <v>07-2026</v>
      </c>
      <c r="C3" s="5" t="s">
        <v>17</v>
      </c>
      <c r="D3" s="4" t="s">
        <v>18</v>
      </c>
      <c r="E3" s="6" t="s">
        <v>19</v>
      </c>
      <c r="F3" s="6" t="s">
        <v>20</v>
      </c>
      <c r="G3" s="5" t="s">
        <v>21</v>
      </c>
      <c r="H3" s="6" t="s">
        <v>22</v>
      </c>
      <c r="I3" s="6"/>
      <c r="J3" s="3"/>
      <c r="K3" s="7" t="n">
        <f aca="true">IF(A3="","",TODAY()-A3)</f>
        <v>17</v>
      </c>
      <c r="L3" s="4"/>
      <c r="M3" s="5"/>
      <c r="N3" s="5"/>
      <c r="O3" s="5"/>
      <c r="P3" s="8" t="s">
        <v>23</v>
      </c>
    </row>
    <row r="4" customFormat="false" ht="18" hidden="false" customHeight="true" outlineLevel="0" collapsed="false">
      <c r="A4" s="9" t="n">
        <v>46223</v>
      </c>
      <c r="B4" s="4" t="str">
        <f aca="false">IF(A4="","",TEXT(A4,"MM-YYYY"))</f>
        <v>07-2026</v>
      </c>
      <c r="C4" s="10" t="s">
        <v>24</v>
      </c>
      <c r="D4" s="11" t="s">
        <v>25</v>
      </c>
      <c r="E4" s="12" t="s">
        <v>19</v>
      </c>
      <c r="F4" s="12" t="s">
        <v>20</v>
      </c>
      <c r="G4" s="10" t="s">
        <v>21</v>
      </c>
      <c r="H4" s="6" t="s">
        <v>26</v>
      </c>
      <c r="I4" s="12"/>
      <c r="J4" s="9"/>
      <c r="K4" s="13" t="n">
        <f aca="true">IF(A4="","",TODAY()-A4)</f>
        <v>17</v>
      </c>
      <c r="L4" s="11"/>
      <c r="M4" s="10"/>
      <c r="N4" s="10"/>
      <c r="O4" s="10"/>
      <c r="P4" s="14" t="s">
        <v>27</v>
      </c>
    </row>
    <row r="5" customFormat="false" ht="18" hidden="false" customHeight="true" outlineLevel="0" collapsed="false">
      <c r="A5" s="3" t="n">
        <v>46223</v>
      </c>
      <c r="B5" s="4" t="str">
        <f aca="false">IF(A5="","",TEXT(A5,"MM-YYYY"))</f>
        <v>07-2026</v>
      </c>
      <c r="C5" s="5" t="s">
        <v>28</v>
      </c>
      <c r="D5" s="4" t="s">
        <v>29</v>
      </c>
      <c r="E5" s="6" t="s">
        <v>19</v>
      </c>
      <c r="F5" s="6" t="s">
        <v>20</v>
      </c>
      <c r="G5" s="5" t="s">
        <v>21</v>
      </c>
      <c r="H5" s="6" t="s">
        <v>22</v>
      </c>
      <c r="I5" s="6"/>
      <c r="J5" s="3"/>
      <c r="K5" s="7" t="n">
        <f aca="true">IF(A5="","",TODAY()-A5)</f>
        <v>17</v>
      </c>
      <c r="L5" s="4"/>
      <c r="M5" s="5"/>
      <c r="N5" s="5"/>
      <c r="O5" s="5"/>
      <c r="P5" s="8" t="s">
        <v>23</v>
      </c>
    </row>
    <row r="6" customFormat="false" ht="18" hidden="false" customHeight="true" outlineLevel="0" collapsed="false">
      <c r="A6" s="9" t="n">
        <v>46223</v>
      </c>
      <c r="B6" s="4" t="str">
        <f aca="false">IF(A6="","",TEXT(A6,"MM-YYYY"))</f>
        <v>07-2026</v>
      </c>
      <c r="C6" s="10"/>
      <c r="D6" s="11" t="s">
        <v>30</v>
      </c>
      <c r="E6" s="12" t="s">
        <v>19</v>
      </c>
      <c r="F6" s="12" t="s">
        <v>20</v>
      </c>
      <c r="G6" s="10" t="s">
        <v>21</v>
      </c>
      <c r="H6" s="6" t="s">
        <v>22</v>
      </c>
      <c r="I6" s="12"/>
      <c r="J6" s="9"/>
      <c r="K6" s="13" t="n">
        <f aca="true">IF(A6="","",TODAY()-A6)</f>
        <v>17</v>
      </c>
      <c r="L6" s="11"/>
      <c r="M6" s="10"/>
      <c r="N6" s="10"/>
      <c r="O6" s="10"/>
      <c r="P6" s="14" t="s">
        <v>23</v>
      </c>
    </row>
    <row r="7" customFormat="false" ht="18" hidden="false" customHeight="true" outlineLevel="0" collapsed="false">
      <c r="A7" s="3" t="n">
        <v>46223</v>
      </c>
      <c r="B7" s="4" t="str">
        <f aca="false">IF(A7="","",TEXT(A7,"MM-YYYY"))</f>
        <v>07-2026</v>
      </c>
      <c r="C7" s="5"/>
      <c r="D7" s="4" t="s">
        <v>31</v>
      </c>
      <c r="E7" s="6" t="s">
        <v>19</v>
      </c>
      <c r="F7" s="6" t="s">
        <v>20</v>
      </c>
      <c r="G7" s="5" t="s">
        <v>21</v>
      </c>
      <c r="H7" s="6" t="s">
        <v>22</v>
      </c>
      <c r="I7" s="6"/>
      <c r="J7" s="3"/>
      <c r="K7" s="7" t="n">
        <f aca="true">IF(A7="","",TODAY()-A7)</f>
        <v>17</v>
      </c>
      <c r="L7" s="4"/>
      <c r="M7" s="5"/>
      <c r="N7" s="5"/>
      <c r="O7" s="5"/>
      <c r="P7" s="8" t="s">
        <v>23</v>
      </c>
    </row>
    <row r="8" customFormat="false" ht="18" hidden="false" customHeight="true" outlineLevel="0" collapsed="false">
      <c r="A8" s="9" t="n">
        <v>46223</v>
      </c>
      <c r="B8" s="4" t="str">
        <f aca="false">IF(A8="","",TEXT(A8,"MM-YYYY"))</f>
        <v>07-2026</v>
      </c>
      <c r="C8" s="10"/>
      <c r="D8" s="11" t="s">
        <v>32</v>
      </c>
      <c r="E8" s="12" t="s">
        <v>19</v>
      </c>
      <c r="F8" s="12" t="s">
        <v>20</v>
      </c>
      <c r="G8" s="10" t="s">
        <v>21</v>
      </c>
      <c r="H8" s="6" t="s">
        <v>22</v>
      </c>
      <c r="I8" s="12"/>
      <c r="J8" s="9"/>
      <c r="K8" s="13" t="n">
        <f aca="true">IF(A8="","",TODAY()-A8)</f>
        <v>17</v>
      </c>
      <c r="L8" s="11"/>
      <c r="M8" s="10"/>
      <c r="N8" s="10"/>
      <c r="O8" s="10"/>
      <c r="P8" s="14" t="s">
        <v>23</v>
      </c>
    </row>
    <row r="9" customFormat="false" ht="18" hidden="false" customHeight="true" outlineLevel="0" collapsed="false">
      <c r="A9" s="3" t="n">
        <v>46223</v>
      </c>
      <c r="B9" s="4" t="str">
        <f aca="false">IF(A9="","",TEXT(A9,"MM-YYYY"))</f>
        <v>07-2026</v>
      </c>
      <c r="C9" s="5" t="s">
        <v>33</v>
      </c>
      <c r="D9" s="4" t="s">
        <v>34</v>
      </c>
      <c r="E9" s="6" t="s">
        <v>19</v>
      </c>
      <c r="F9" s="6" t="s">
        <v>20</v>
      </c>
      <c r="G9" s="5" t="s">
        <v>21</v>
      </c>
      <c r="H9" s="6" t="s">
        <v>35</v>
      </c>
      <c r="I9" s="6"/>
      <c r="J9" s="3"/>
      <c r="K9" s="7" t="n">
        <f aca="true">IF(A9="","",TODAY()-A9)</f>
        <v>17</v>
      </c>
      <c r="L9" s="4"/>
      <c r="M9" s="5"/>
      <c r="N9" s="5"/>
      <c r="O9" s="5"/>
      <c r="P9" s="8" t="s">
        <v>36</v>
      </c>
    </row>
    <row r="10" customFormat="false" ht="18" hidden="false" customHeight="true" outlineLevel="0" collapsed="false">
      <c r="A10" s="9" t="n">
        <v>46223</v>
      </c>
      <c r="B10" s="4" t="str">
        <f aca="false">IF(A10="","",TEXT(A10,"MM-YYYY"))</f>
        <v>07-2026</v>
      </c>
      <c r="C10" s="10" t="s">
        <v>37</v>
      </c>
      <c r="D10" s="11" t="s">
        <v>38</v>
      </c>
      <c r="E10" s="12" t="s">
        <v>19</v>
      </c>
      <c r="F10" s="12" t="s">
        <v>20</v>
      </c>
      <c r="G10" s="10" t="s">
        <v>21</v>
      </c>
      <c r="H10" s="6" t="s">
        <v>35</v>
      </c>
      <c r="I10" s="12"/>
      <c r="J10" s="9"/>
      <c r="K10" s="13" t="n">
        <f aca="true">IF(A10="","",TODAY()-A10)</f>
        <v>17</v>
      </c>
      <c r="L10" s="11"/>
      <c r="M10" s="10"/>
      <c r="N10" s="10"/>
      <c r="O10" s="10"/>
      <c r="P10" s="14" t="s">
        <v>36</v>
      </c>
    </row>
    <row r="11" customFormat="false" ht="18" hidden="false" customHeight="true" outlineLevel="0" collapsed="false">
      <c r="A11" s="3" t="n">
        <v>46225</v>
      </c>
      <c r="B11" s="4" t="str">
        <f aca="false">IF(A11="","",TEXT(A11,"MM-YYYY"))</f>
        <v>07-2026</v>
      </c>
      <c r="C11" s="5" t="s">
        <v>39</v>
      </c>
      <c r="D11" s="4" t="s">
        <v>40</v>
      </c>
      <c r="E11" s="6" t="s">
        <v>19</v>
      </c>
      <c r="F11" s="6" t="s">
        <v>20</v>
      </c>
      <c r="G11" s="5" t="s">
        <v>21</v>
      </c>
      <c r="H11" s="6" t="s">
        <v>26</v>
      </c>
      <c r="I11" s="6"/>
      <c r="J11" s="3"/>
      <c r="K11" s="7" t="n">
        <f aca="true">IF(A11="","",TODAY()-A11)</f>
        <v>15</v>
      </c>
      <c r="L11" s="4"/>
      <c r="M11" s="5"/>
      <c r="N11" s="5"/>
      <c r="O11" s="5"/>
      <c r="P11" s="8" t="s">
        <v>41</v>
      </c>
    </row>
    <row r="12" customFormat="false" ht="18" hidden="false" customHeight="true" outlineLevel="0" collapsed="false">
      <c r="A12" s="9" t="n">
        <v>46225</v>
      </c>
      <c r="B12" s="4" t="str">
        <f aca="false">IF(A12="","",TEXT(A12,"MM-YYYY"))</f>
        <v>07-2026</v>
      </c>
      <c r="C12" s="10" t="s">
        <v>39</v>
      </c>
      <c r="D12" s="11" t="s">
        <v>42</v>
      </c>
      <c r="E12" s="12" t="s">
        <v>19</v>
      </c>
      <c r="F12" s="12" t="s">
        <v>20</v>
      </c>
      <c r="G12" s="10" t="s">
        <v>21</v>
      </c>
      <c r="H12" s="6" t="s">
        <v>35</v>
      </c>
      <c r="I12" s="12"/>
      <c r="J12" s="9"/>
      <c r="K12" s="13" t="n">
        <f aca="true">IF(A12="","",TODAY()-A12)</f>
        <v>15</v>
      </c>
      <c r="L12" s="11"/>
      <c r="M12" s="10"/>
      <c r="N12" s="10"/>
      <c r="O12" s="10"/>
      <c r="P12" s="14" t="s">
        <v>36</v>
      </c>
    </row>
    <row r="13" customFormat="false" ht="18" hidden="false" customHeight="true" outlineLevel="0" collapsed="false">
      <c r="A13" s="3" t="n">
        <v>46225</v>
      </c>
      <c r="B13" s="4" t="str">
        <f aca="false">IF(A13="","",TEXT(A13,"MM-YYYY"))</f>
        <v>07-2026</v>
      </c>
      <c r="C13" s="5" t="s">
        <v>43</v>
      </c>
      <c r="D13" s="4" t="s">
        <v>44</v>
      </c>
      <c r="E13" s="6" t="s">
        <v>19</v>
      </c>
      <c r="F13" s="6" t="s">
        <v>20</v>
      </c>
      <c r="G13" s="5" t="s">
        <v>21</v>
      </c>
      <c r="H13" s="6" t="s">
        <v>22</v>
      </c>
      <c r="I13" s="6"/>
      <c r="J13" s="3"/>
      <c r="K13" s="7" t="n">
        <f aca="true">IF(A13="","",TODAY()-A13)</f>
        <v>15</v>
      </c>
      <c r="L13" s="4"/>
      <c r="M13" s="5"/>
      <c r="N13" s="5"/>
      <c r="O13" s="5"/>
      <c r="P13" s="8" t="s">
        <v>23</v>
      </c>
    </row>
    <row r="14" customFormat="false" ht="18" hidden="false" customHeight="true" outlineLevel="0" collapsed="false">
      <c r="A14" s="9" t="n">
        <v>46225</v>
      </c>
      <c r="B14" s="4" t="str">
        <f aca="false">IF(A14="","",TEXT(A14,"MM-YYYY"))</f>
        <v>07-2026</v>
      </c>
      <c r="C14" s="10" t="s">
        <v>45</v>
      </c>
      <c r="D14" s="11" t="s">
        <v>46</v>
      </c>
      <c r="E14" s="12" t="s">
        <v>19</v>
      </c>
      <c r="F14" s="12" t="s">
        <v>20</v>
      </c>
      <c r="G14" s="10" t="s">
        <v>21</v>
      </c>
      <c r="H14" s="6" t="s">
        <v>22</v>
      </c>
      <c r="I14" s="12"/>
      <c r="J14" s="9"/>
      <c r="K14" s="13" t="n">
        <f aca="true">IF(A14="","",TODAY()-A14)</f>
        <v>15</v>
      </c>
      <c r="L14" s="11"/>
      <c r="M14" s="10"/>
      <c r="N14" s="10"/>
      <c r="O14" s="10"/>
      <c r="P14" s="14" t="s">
        <v>23</v>
      </c>
    </row>
    <row r="15" customFormat="false" ht="18" hidden="false" customHeight="true" outlineLevel="0" collapsed="false">
      <c r="A15" s="3" t="n">
        <v>46226</v>
      </c>
      <c r="B15" s="4" t="str">
        <f aca="false">IF(A15="","",TEXT(A15,"MM-YYYY"))</f>
        <v>07-2026</v>
      </c>
      <c r="C15" s="5" t="s">
        <v>47</v>
      </c>
      <c r="D15" s="4" t="s">
        <v>48</v>
      </c>
      <c r="E15" s="6" t="s">
        <v>19</v>
      </c>
      <c r="F15" s="6" t="s">
        <v>20</v>
      </c>
      <c r="G15" s="5" t="s">
        <v>21</v>
      </c>
      <c r="H15" s="6" t="s">
        <v>22</v>
      </c>
      <c r="I15" s="6"/>
      <c r="J15" s="3"/>
      <c r="K15" s="7" t="n">
        <f aca="true">IF(A15="","",TODAY()-A15)</f>
        <v>14</v>
      </c>
      <c r="L15" s="4"/>
      <c r="M15" s="5"/>
      <c r="N15" s="5"/>
      <c r="O15" s="5"/>
      <c r="P15" s="8" t="s">
        <v>49</v>
      </c>
    </row>
    <row r="16" customFormat="false" ht="18" hidden="false" customHeight="true" outlineLevel="0" collapsed="false">
      <c r="A16" s="9" t="n">
        <v>46226</v>
      </c>
      <c r="B16" s="4" t="str">
        <f aca="false">IF(A16="","",TEXT(A16,"MM-YYYY"))</f>
        <v>07-2026</v>
      </c>
      <c r="C16" s="10" t="s">
        <v>50</v>
      </c>
      <c r="D16" s="11" t="s">
        <v>51</v>
      </c>
      <c r="E16" s="12" t="s">
        <v>19</v>
      </c>
      <c r="F16" s="12" t="s">
        <v>20</v>
      </c>
      <c r="G16" s="10" t="s">
        <v>21</v>
      </c>
      <c r="H16" s="6" t="s">
        <v>22</v>
      </c>
      <c r="I16" s="12"/>
      <c r="J16" s="9"/>
      <c r="K16" s="13" t="n">
        <f aca="true">IF(A16="","",TODAY()-A16)</f>
        <v>14</v>
      </c>
      <c r="L16" s="11"/>
      <c r="M16" s="10"/>
      <c r="N16" s="10"/>
      <c r="O16" s="10"/>
      <c r="P16" s="14" t="s">
        <v>49</v>
      </c>
    </row>
    <row r="17" customFormat="false" ht="18" hidden="false" customHeight="true" outlineLevel="0" collapsed="false">
      <c r="A17" s="3" t="n">
        <v>46226</v>
      </c>
      <c r="B17" s="4" t="str">
        <f aca="false">IF(A17="","",TEXT(A17,"MM-YYYY"))</f>
        <v>07-2026</v>
      </c>
      <c r="C17" s="5" t="s">
        <v>52</v>
      </c>
      <c r="D17" s="4" t="s">
        <v>53</v>
      </c>
      <c r="E17" s="6" t="s">
        <v>19</v>
      </c>
      <c r="F17" s="6" t="s">
        <v>20</v>
      </c>
      <c r="G17" s="5" t="s">
        <v>21</v>
      </c>
      <c r="H17" s="6" t="s">
        <v>22</v>
      </c>
      <c r="I17" s="6"/>
      <c r="J17" s="3"/>
      <c r="K17" s="7" t="n">
        <f aca="true">IF(A17="","",TODAY()-A17)</f>
        <v>14</v>
      </c>
      <c r="L17" s="4"/>
      <c r="M17" s="5"/>
      <c r="N17" s="5"/>
      <c r="O17" s="5"/>
      <c r="P17" s="8" t="s">
        <v>23</v>
      </c>
    </row>
    <row r="18" customFormat="false" ht="18" hidden="false" customHeight="true" outlineLevel="0" collapsed="false">
      <c r="A18" s="9" t="n">
        <v>46226</v>
      </c>
      <c r="B18" s="4" t="str">
        <f aca="false">IF(A18="","",TEXT(A18,"MM-YYYY"))</f>
        <v>07-2026</v>
      </c>
      <c r="C18" s="10" t="s">
        <v>54</v>
      </c>
      <c r="D18" s="11" t="s">
        <v>55</v>
      </c>
      <c r="E18" s="12" t="s">
        <v>19</v>
      </c>
      <c r="F18" s="12" t="s">
        <v>20</v>
      </c>
      <c r="G18" s="10" t="s">
        <v>21</v>
      </c>
      <c r="H18" s="6" t="s">
        <v>22</v>
      </c>
      <c r="I18" s="12"/>
      <c r="J18" s="9"/>
      <c r="K18" s="13" t="n">
        <f aca="true">IF(A18="","",TODAY()-A18)</f>
        <v>14</v>
      </c>
      <c r="L18" s="11"/>
      <c r="M18" s="10"/>
      <c r="N18" s="10"/>
      <c r="O18" s="10"/>
      <c r="P18" s="14" t="s">
        <v>23</v>
      </c>
    </row>
    <row r="19" customFormat="false" ht="18" hidden="false" customHeight="true" outlineLevel="0" collapsed="false">
      <c r="A19" s="3" t="n">
        <v>46226</v>
      </c>
      <c r="B19" s="4" t="str">
        <f aca="false">IF(A19="","",TEXT(A19,"MM-YYYY"))</f>
        <v>07-2026</v>
      </c>
      <c r="C19" s="5" t="s">
        <v>56</v>
      </c>
      <c r="D19" s="4" t="s">
        <v>57</v>
      </c>
      <c r="E19" s="6" t="s">
        <v>19</v>
      </c>
      <c r="F19" s="6" t="s">
        <v>20</v>
      </c>
      <c r="G19" s="5" t="s">
        <v>21</v>
      </c>
      <c r="H19" s="6" t="s">
        <v>22</v>
      </c>
      <c r="I19" s="6"/>
      <c r="J19" s="3"/>
      <c r="K19" s="7" t="n">
        <f aca="true">IF(A19="","",TODAY()-A19)</f>
        <v>14</v>
      </c>
      <c r="L19" s="4"/>
      <c r="M19" s="5"/>
      <c r="N19" s="5"/>
      <c r="O19" s="5"/>
      <c r="P19" s="8" t="s">
        <v>23</v>
      </c>
    </row>
    <row r="20" customFormat="false" ht="18" hidden="false" customHeight="true" outlineLevel="0" collapsed="false">
      <c r="A20" s="9" t="n">
        <v>46226</v>
      </c>
      <c r="B20" s="4" t="str">
        <f aca="false">IF(A20="","",TEXT(A20,"MM-YYYY"))</f>
        <v>07-2026</v>
      </c>
      <c r="C20" s="10" t="s">
        <v>58</v>
      </c>
      <c r="D20" s="11" t="s">
        <v>59</v>
      </c>
      <c r="E20" s="12" t="s">
        <v>19</v>
      </c>
      <c r="F20" s="12" t="s">
        <v>20</v>
      </c>
      <c r="G20" s="10" t="s">
        <v>21</v>
      </c>
      <c r="H20" s="6" t="s">
        <v>22</v>
      </c>
      <c r="I20" s="12"/>
      <c r="J20" s="9"/>
      <c r="K20" s="13" t="n">
        <f aca="true">IF(A20="","",TODAY()-A20)</f>
        <v>14</v>
      </c>
      <c r="L20" s="11"/>
      <c r="M20" s="10"/>
      <c r="N20" s="10"/>
      <c r="O20" s="10"/>
      <c r="P20" s="14" t="s">
        <v>23</v>
      </c>
    </row>
    <row r="21" customFormat="false" ht="18" hidden="false" customHeight="true" outlineLevel="0" collapsed="false">
      <c r="A21" s="3" t="n">
        <v>46226</v>
      </c>
      <c r="B21" s="4" t="str">
        <f aca="false">IF(A21="","",TEXT(A21,"MM-YYYY"))</f>
        <v>07-2026</v>
      </c>
      <c r="C21" s="5" t="s">
        <v>60</v>
      </c>
      <c r="D21" s="4" t="s">
        <v>61</v>
      </c>
      <c r="E21" s="6" t="s">
        <v>19</v>
      </c>
      <c r="F21" s="6" t="s">
        <v>20</v>
      </c>
      <c r="G21" s="5" t="s">
        <v>21</v>
      </c>
      <c r="H21" s="6" t="s">
        <v>22</v>
      </c>
      <c r="I21" s="6"/>
      <c r="J21" s="3"/>
      <c r="K21" s="7" t="n">
        <f aca="true">IF(A21="","",TODAY()-A21)</f>
        <v>14</v>
      </c>
      <c r="L21" s="4"/>
      <c r="M21" s="5"/>
      <c r="N21" s="5"/>
      <c r="O21" s="5"/>
      <c r="P21" s="8" t="s">
        <v>23</v>
      </c>
    </row>
    <row r="22" customFormat="false" ht="18" hidden="false" customHeight="true" outlineLevel="0" collapsed="false">
      <c r="A22" s="9" t="n">
        <v>46226</v>
      </c>
      <c r="B22" s="4" t="str">
        <f aca="false">IF(A22="","",TEXT(A22,"MM-YYYY"))</f>
        <v>07-2026</v>
      </c>
      <c r="C22" s="10" t="s">
        <v>62</v>
      </c>
      <c r="D22" s="11" t="s">
        <v>63</v>
      </c>
      <c r="E22" s="12" t="s">
        <v>19</v>
      </c>
      <c r="F22" s="12" t="s">
        <v>20</v>
      </c>
      <c r="G22" s="10" t="s">
        <v>21</v>
      </c>
      <c r="H22" s="6" t="s">
        <v>26</v>
      </c>
      <c r="I22" s="12"/>
      <c r="J22" s="9"/>
      <c r="K22" s="13" t="n">
        <f aca="true">IF(A22="","",TODAY()-A22)</f>
        <v>14</v>
      </c>
      <c r="L22" s="11"/>
      <c r="M22" s="10"/>
      <c r="N22" s="10"/>
      <c r="O22" s="10"/>
      <c r="P22" s="14" t="s">
        <v>64</v>
      </c>
    </row>
    <row r="23" customFormat="false" ht="18" hidden="false" customHeight="true" outlineLevel="0" collapsed="false">
      <c r="A23" s="3" t="n">
        <v>46230</v>
      </c>
      <c r="B23" s="4" t="str">
        <f aca="false">IF(A23="","",TEXT(A23,"MM-YYYY"))</f>
        <v>07-2026</v>
      </c>
      <c r="C23" s="5" t="s">
        <v>65</v>
      </c>
      <c r="D23" s="4" t="s">
        <v>66</v>
      </c>
      <c r="E23" s="6" t="s">
        <v>19</v>
      </c>
      <c r="F23" s="6" t="s">
        <v>20</v>
      </c>
      <c r="G23" s="5" t="s">
        <v>21</v>
      </c>
      <c r="H23" s="6" t="s">
        <v>22</v>
      </c>
      <c r="I23" s="6"/>
      <c r="J23" s="3"/>
      <c r="K23" s="7" t="n">
        <f aca="true">IF(A23="","",TODAY()-A23)</f>
        <v>10</v>
      </c>
      <c r="L23" s="4"/>
      <c r="M23" s="5"/>
      <c r="N23" s="5"/>
      <c r="O23" s="5"/>
      <c r="P23" s="8" t="s">
        <v>67</v>
      </c>
    </row>
    <row r="24" customFormat="false" ht="18" hidden="false" customHeight="true" outlineLevel="0" collapsed="false">
      <c r="A24" s="9" t="n">
        <v>46230</v>
      </c>
      <c r="B24" s="4" t="str">
        <f aca="false">IF(A24="","",TEXT(A24,"MM-YYYY"))</f>
        <v>07-2026</v>
      </c>
      <c r="C24" s="10" t="s">
        <v>68</v>
      </c>
      <c r="D24" s="11" t="s">
        <v>69</v>
      </c>
      <c r="E24" s="12" t="s">
        <v>19</v>
      </c>
      <c r="F24" s="12" t="s">
        <v>20</v>
      </c>
      <c r="G24" s="10" t="s">
        <v>21</v>
      </c>
      <c r="H24" s="6" t="s">
        <v>22</v>
      </c>
      <c r="I24" s="12"/>
      <c r="J24" s="9"/>
      <c r="K24" s="13" t="n">
        <f aca="true">IF(A24="","",TODAY()-A24)</f>
        <v>10</v>
      </c>
      <c r="L24" s="11"/>
      <c r="M24" s="10"/>
      <c r="N24" s="10"/>
      <c r="O24" s="10"/>
      <c r="P24" s="14" t="s">
        <v>70</v>
      </c>
    </row>
    <row r="25" customFormat="false" ht="18" hidden="false" customHeight="true" outlineLevel="0" collapsed="false">
      <c r="A25" s="3" t="n">
        <v>46230</v>
      </c>
      <c r="B25" s="4" t="str">
        <f aca="false">IF(A25="","",TEXT(A25,"MM-YYYY"))</f>
        <v>07-2026</v>
      </c>
      <c r="C25" s="5" t="s">
        <v>71</v>
      </c>
      <c r="D25" s="4" t="s">
        <v>72</v>
      </c>
      <c r="E25" s="6" t="s">
        <v>19</v>
      </c>
      <c r="F25" s="6" t="s">
        <v>20</v>
      </c>
      <c r="G25" s="5" t="s">
        <v>21</v>
      </c>
      <c r="H25" s="6" t="s">
        <v>22</v>
      </c>
      <c r="I25" s="6"/>
      <c r="J25" s="3"/>
      <c r="K25" s="7" t="n">
        <f aca="true">IF(A25="","",TODAY()-A25)</f>
        <v>10</v>
      </c>
      <c r="L25" s="4"/>
      <c r="M25" s="5"/>
      <c r="N25" s="5"/>
      <c r="O25" s="5"/>
      <c r="P25" s="8" t="s">
        <v>73</v>
      </c>
    </row>
    <row r="26" customFormat="false" ht="18" hidden="false" customHeight="true" outlineLevel="0" collapsed="false">
      <c r="A26" s="9" t="n">
        <v>46230</v>
      </c>
      <c r="B26" s="4" t="str">
        <f aca="false">IF(A26="","",TEXT(A26,"MM-YYYY"))</f>
        <v>07-2026</v>
      </c>
      <c r="C26" s="10" t="s">
        <v>74</v>
      </c>
      <c r="D26" s="11" t="s">
        <v>75</v>
      </c>
      <c r="E26" s="12" t="s">
        <v>19</v>
      </c>
      <c r="F26" s="12" t="s">
        <v>20</v>
      </c>
      <c r="G26" s="10" t="s">
        <v>21</v>
      </c>
      <c r="H26" s="6" t="s">
        <v>22</v>
      </c>
      <c r="I26" s="12"/>
      <c r="J26" s="9"/>
      <c r="K26" s="13" t="n">
        <f aca="true">IF(A26="","",TODAY()-A26)</f>
        <v>10</v>
      </c>
      <c r="L26" s="11"/>
      <c r="M26" s="10"/>
      <c r="N26" s="10"/>
      <c r="O26" s="10"/>
      <c r="P26" s="14" t="s">
        <v>23</v>
      </c>
    </row>
    <row r="27" customFormat="false" ht="18" hidden="false" customHeight="true" outlineLevel="0" collapsed="false">
      <c r="A27" s="3" t="n">
        <v>46230</v>
      </c>
      <c r="B27" s="4" t="str">
        <f aca="false">IF(A27="","",TEXT(A27,"MM-YYYY"))</f>
        <v>07-2026</v>
      </c>
      <c r="C27" s="5" t="s">
        <v>76</v>
      </c>
      <c r="D27" s="4" t="s">
        <v>77</v>
      </c>
      <c r="E27" s="6" t="s">
        <v>19</v>
      </c>
      <c r="F27" s="6" t="s">
        <v>20</v>
      </c>
      <c r="G27" s="5" t="s">
        <v>21</v>
      </c>
      <c r="H27" s="6" t="s">
        <v>22</v>
      </c>
      <c r="I27" s="6"/>
      <c r="J27" s="3"/>
      <c r="K27" s="7" t="n">
        <f aca="true">IF(A27="","",TODAY()-A27)</f>
        <v>10</v>
      </c>
      <c r="L27" s="4"/>
      <c r="M27" s="5"/>
      <c r="N27" s="5"/>
      <c r="O27" s="5"/>
      <c r="P27" s="8" t="s">
        <v>23</v>
      </c>
    </row>
    <row r="28" customFormat="false" ht="18" hidden="false" customHeight="true" outlineLevel="0" collapsed="false">
      <c r="A28" s="9" t="n">
        <v>46230</v>
      </c>
      <c r="B28" s="4" t="str">
        <f aca="false">IF(A28="","",TEXT(A28,"MM-YYYY"))</f>
        <v>07-2026</v>
      </c>
      <c r="C28" s="10" t="s">
        <v>78</v>
      </c>
      <c r="D28" s="11" t="s">
        <v>79</v>
      </c>
      <c r="E28" s="12" t="s">
        <v>19</v>
      </c>
      <c r="F28" s="12" t="s">
        <v>20</v>
      </c>
      <c r="G28" s="10" t="s">
        <v>21</v>
      </c>
      <c r="H28" s="6" t="s">
        <v>35</v>
      </c>
      <c r="I28" s="12"/>
      <c r="J28" s="9"/>
      <c r="K28" s="13" t="n">
        <f aca="true">IF(A28="","",TODAY()-A28)</f>
        <v>10</v>
      </c>
      <c r="L28" s="11"/>
      <c r="M28" s="10"/>
      <c r="N28" s="10"/>
      <c r="O28" s="10"/>
      <c r="P28" s="14" t="s">
        <v>36</v>
      </c>
    </row>
    <row r="29" customFormat="false" ht="18" hidden="false" customHeight="true" outlineLevel="0" collapsed="false">
      <c r="A29" s="3" t="n">
        <v>46230</v>
      </c>
      <c r="B29" s="4" t="str">
        <f aca="false">IF(A29="","",TEXT(A29,"MM-YYYY"))</f>
        <v>07-2026</v>
      </c>
      <c r="C29" s="5" t="s">
        <v>80</v>
      </c>
      <c r="D29" s="4" t="s">
        <v>81</v>
      </c>
      <c r="E29" s="6" t="s">
        <v>19</v>
      </c>
      <c r="F29" s="6" t="s">
        <v>20</v>
      </c>
      <c r="G29" s="5" t="s">
        <v>21</v>
      </c>
      <c r="H29" s="6" t="s">
        <v>22</v>
      </c>
      <c r="I29" s="6"/>
      <c r="J29" s="3"/>
      <c r="K29" s="7" t="n">
        <f aca="true">IF(A29="","",TODAY()-A29)</f>
        <v>10</v>
      </c>
      <c r="L29" s="4"/>
      <c r="M29" s="5"/>
      <c r="N29" s="5"/>
      <c r="O29" s="5"/>
      <c r="P29" s="8" t="s">
        <v>82</v>
      </c>
    </row>
    <row r="30" customFormat="false" ht="18" hidden="false" customHeight="true" outlineLevel="0" collapsed="false">
      <c r="A30" s="9" t="n">
        <v>46230</v>
      </c>
      <c r="B30" s="4" t="str">
        <f aca="false">IF(A30="","",TEXT(A30,"MM-YYYY"))</f>
        <v>07-2026</v>
      </c>
      <c r="C30" s="10" t="s">
        <v>83</v>
      </c>
      <c r="D30" s="11" t="s">
        <v>84</v>
      </c>
      <c r="E30" s="12" t="s">
        <v>19</v>
      </c>
      <c r="F30" s="12" t="s">
        <v>20</v>
      </c>
      <c r="G30" s="10" t="s">
        <v>21</v>
      </c>
      <c r="H30" s="6" t="s">
        <v>22</v>
      </c>
      <c r="I30" s="12"/>
      <c r="J30" s="9"/>
      <c r="K30" s="13" t="n">
        <f aca="true">IF(A30="","",TODAY()-A30)</f>
        <v>10</v>
      </c>
      <c r="L30" s="11"/>
      <c r="M30" s="10"/>
      <c r="N30" s="10"/>
      <c r="O30" s="10"/>
      <c r="P30" s="14" t="s">
        <v>82</v>
      </c>
    </row>
    <row r="31" customFormat="false" ht="18" hidden="false" customHeight="true" outlineLevel="0" collapsed="false">
      <c r="A31" s="3" t="n">
        <v>46230</v>
      </c>
      <c r="B31" s="4" t="str">
        <f aca="false">IF(A31="","",TEXT(A31,"MM-YYYY"))</f>
        <v>07-2026</v>
      </c>
      <c r="C31" s="5" t="s">
        <v>85</v>
      </c>
      <c r="D31" s="4" t="s">
        <v>86</v>
      </c>
      <c r="E31" s="6" t="s">
        <v>19</v>
      </c>
      <c r="F31" s="6" t="s">
        <v>20</v>
      </c>
      <c r="G31" s="5" t="s">
        <v>21</v>
      </c>
      <c r="H31" s="6" t="s">
        <v>35</v>
      </c>
      <c r="I31" s="6"/>
      <c r="J31" s="3"/>
      <c r="K31" s="7" t="n">
        <f aca="true">IF(A31="","",TODAY()-A31)</f>
        <v>10</v>
      </c>
      <c r="L31" s="4"/>
      <c r="M31" s="5"/>
      <c r="N31" s="5"/>
      <c r="O31" s="5"/>
      <c r="P31" s="8" t="s">
        <v>87</v>
      </c>
    </row>
    <row r="32" customFormat="false" ht="18" hidden="false" customHeight="true" outlineLevel="0" collapsed="false">
      <c r="A32" s="9" t="n">
        <v>46232</v>
      </c>
      <c r="B32" s="4" t="str">
        <f aca="false">IF(A32="","",TEXT(A32,"MM-YYYY"))</f>
        <v>07-2026</v>
      </c>
      <c r="C32" s="10" t="s">
        <v>88</v>
      </c>
      <c r="D32" s="11" t="s">
        <v>89</v>
      </c>
      <c r="E32" s="12" t="s">
        <v>19</v>
      </c>
      <c r="F32" s="12" t="s">
        <v>20</v>
      </c>
      <c r="G32" s="10" t="s">
        <v>90</v>
      </c>
      <c r="H32" s="6" t="s">
        <v>22</v>
      </c>
      <c r="I32" s="12"/>
      <c r="J32" s="9"/>
      <c r="K32" s="13" t="n">
        <f aca="true">IF(A32="","",TODAY()-A32)</f>
        <v>8</v>
      </c>
      <c r="L32" s="11"/>
      <c r="M32" s="10"/>
      <c r="N32" s="10"/>
      <c r="O32" s="10"/>
      <c r="P32" s="14" t="s">
        <v>91</v>
      </c>
    </row>
    <row r="33" customFormat="false" ht="18" hidden="false" customHeight="true" outlineLevel="0" collapsed="false">
      <c r="A33" s="3" t="n">
        <v>46232</v>
      </c>
      <c r="B33" s="4" t="str">
        <f aca="false">IF(A33="","",TEXT(A33,"MM-YYYY"))</f>
        <v>07-2026</v>
      </c>
      <c r="C33" s="5" t="s">
        <v>92</v>
      </c>
      <c r="D33" s="4" t="s">
        <v>93</v>
      </c>
      <c r="E33" s="6" t="s">
        <v>19</v>
      </c>
      <c r="F33" s="6" t="s">
        <v>20</v>
      </c>
      <c r="G33" s="5" t="s">
        <v>90</v>
      </c>
      <c r="H33" s="6" t="s">
        <v>22</v>
      </c>
      <c r="I33" s="6"/>
      <c r="J33" s="3"/>
      <c r="K33" s="7" t="n">
        <f aca="true">IF(A33="","",TODAY()-A33)</f>
        <v>8</v>
      </c>
      <c r="L33" s="4"/>
      <c r="M33" s="5"/>
      <c r="N33" s="5"/>
      <c r="O33" s="5"/>
      <c r="P33" s="8" t="s">
        <v>94</v>
      </c>
    </row>
    <row r="34" customFormat="false" ht="18" hidden="false" customHeight="true" outlineLevel="0" collapsed="false">
      <c r="A34" s="9" t="n">
        <v>46232</v>
      </c>
      <c r="B34" s="4" t="str">
        <f aca="false">IF(A34="","",TEXT(A34,"MM-YYYY"))</f>
        <v>07-2026</v>
      </c>
      <c r="C34" s="10" t="s">
        <v>95</v>
      </c>
      <c r="D34" s="11" t="s">
        <v>96</v>
      </c>
      <c r="E34" s="12" t="s">
        <v>19</v>
      </c>
      <c r="F34" s="12" t="s">
        <v>20</v>
      </c>
      <c r="G34" s="10" t="s">
        <v>90</v>
      </c>
      <c r="H34" s="6" t="s">
        <v>22</v>
      </c>
      <c r="I34" s="12"/>
      <c r="J34" s="9"/>
      <c r="K34" s="13" t="n">
        <f aca="true">IF(A34="","",TODAY()-A34)</f>
        <v>8</v>
      </c>
      <c r="L34" s="11"/>
      <c r="M34" s="10"/>
      <c r="N34" s="10"/>
      <c r="O34" s="10"/>
      <c r="P34" s="14" t="s">
        <v>97</v>
      </c>
    </row>
    <row r="35" customFormat="false" ht="18" hidden="false" customHeight="true" outlineLevel="0" collapsed="false">
      <c r="A35" s="3" t="n">
        <v>46232</v>
      </c>
      <c r="B35" s="4" t="str">
        <f aca="false">IF(A35="","",TEXT(A35,"MM-YYYY"))</f>
        <v>07-2026</v>
      </c>
      <c r="C35" s="5" t="s">
        <v>98</v>
      </c>
      <c r="D35" s="4" t="s">
        <v>99</v>
      </c>
      <c r="E35" s="6" t="s">
        <v>19</v>
      </c>
      <c r="F35" s="6" t="s">
        <v>20</v>
      </c>
      <c r="G35" s="5" t="s">
        <v>90</v>
      </c>
      <c r="H35" s="6" t="s">
        <v>35</v>
      </c>
      <c r="I35" s="6"/>
      <c r="J35" s="3"/>
      <c r="K35" s="7" t="n">
        <f aca="true">IF(A35="","",TODAY()-A35)</f>
        <v>8</v>
      </c>
      <c r="L35" s="4"/>
      <c r="M35" s="5"/>
      <c r="N35" s="5"/>
      <c r="O35" s="5"/>
      <c r="P35" s="8" t="s">
        <v>100</v>
      </c>
    </row>
    <row r="36" customFormat="false" ht="18" hidden="false" customHeight="true" outlineLevel="0" collapsed="false">
      <c r="A36" s="9" t="n">
        <v>46232</v>
      </c>
      <c r="B36" s="4" t="str">
        <f aca="false">IF(A36="","",TEXT(A36,"MM-YYYY"))</f>
        <v>07-2026</v>
      </c>
      <c r="C36" s="10" t="s">
        <v>65</v>
      </c>
      <c r="D36" s="11" t="s">
        <v>101</v>
      </c>
      <c r="E36" s="12" t="s">
        <v>19</v>
      </c>
      <c r="F36" s="12" t="s">
        <v>20</v>
      </c>
      <c r="G36" s="10" t="s">
        <v>90</v>
      </c>
      <c r="H36" s="6" t="s">
        <v>35</v>
      </c>
      <c r="I36" s="12"/>
      <c r="J36" s="9"/>
      <c r="K36" s="13" t="n">
        <f aca="true">IF(A36="","",TODAY()-A36)</f>
        <v>8</v>
      </c>
      <c r="L36" s="11"/>
      <c r="M36" s="10"/>
      <c r="N36" s="10"/>
      <c r="O36" s="10"/>
      <c r="P36" s="14" t="s">
        <v>102</v>
      </c>
    </row>
    <row r="37" customFormat="false" ht="18" hidden="false" customHeight="true" outlineLevel="0" collapsed="false">
      <c r="A37" s="3" t="n">
        <v>46232</v>
      </c>
      <c r="B37" s="4" t="str">
        <f aca="false">IF(A37="","",TEXT(A37,"MM-YYYY"))</f>
        <v>07-2026</v>
      </c>
      <c r="C37" s="5" t="s">
        <v>103</v>
      </c>
      <c r="D37" s="4" t="s">
        <v>104</v>
      </c>
      <c r="E37" s="6" t="s">
        <v>19</v>
      </c>
      <c r="F37" s="6" t="s">
        <v>20</v>
      </c>
      <c r="G37" s="5" t="s">
        <v>90</v>
      </c>
      <c r="H37" s="6" t="s">
        <v>35</v>
      </c>
      <c r="I37" s="6"/>
      <c r="J37" s="3"/>
      <c r="K37" s="7" t="n">
        <f aca="true">IF(A37="","",TODAY()-A37)</f>
        <v>8</v>
      </c>
      <c r="L37" s="4"/>
      <c r="M37" s="5"/>
      <c r="N37" s="5"/>
      <c r="O37" s="5"/>
      <c r="P37" s="8" t="s">
        <v>105</v>
      </c>
    </row>
    <row r="38" customFormat="false" ht="18" hidden="false" customHeight="true" outlineLevel="0" collapsed="false">
      <c r="A38" s="9" t="n">
        <v>46232</v>
      </c>
      <c r="B38" s="4" t="str">
        <f aca="false">IF(A38="","",TEXT(A38,"MM-YYYY"))</f>
        <v>07-2026</v>
      </c>
      <c r="C38" s="10" t="s">
        <v>106</v>
      </c>
      <c r="D38" s="11" t="s">
        <v>107</v>
      </c>
      <c r="E38" s="12" t="s">
        <v>19</v>
      </c>
      <c r="F38" s="12" t="s">
        <v>20</v>
      </c>
      <c r="G38" s="10" t="s">
        <v>108</v>
      </c>
      <c r="H38" s="6" t="s">
        <v>22</v>
      </c>
      <c r="I38" s="12"/>
      <c r="J38" s="9"/>
      <c r="K38" s="13" t="n">
        <f aca="true">IF(A38="","",TODAY()-A38)</f>
        <v>8</v>
      </c>
      <c r="L38" s="11"/>
      <c r="M38" s="10"/>
      <c r="N38" s="10"/>
      <c r="O38" s="10"/>
      <c r="P38" s="14" t="s">
        <v>109</v>
      </c>
    </row>
    <row r="39" customFormat="false" ht="18" hidden="false" customHeight="true" outlineLevel="0" collapsed="false">
      <c r="A39" s="3" t="n">
        <v>46232</v>
      </c>
      <c r="B39" s="4" t="str">
        <f aca="false">IF(A39="","",TEXT(A39,"MM-YYYY"))</f>
        <v>07-2026</v>
      </c>
      <c r="C39" s="5" t="s">
        <v>110</v>
      </c>
      <c r="D39" s="4" t="s">
        <v>111</v>
      </c>
      <c r="E39" s="6" t="s">
        <v>19</v>
      </c>
      <c r="F39" s="6" t="s">
        <v>20</v>
      </c>
      <c r="G39" s="5" t="s">
        <v>108</v>
      </c>
      <c r="H39" s="6" t="s">
        <v>22</v>
      </c>
      <c r="I39" s="6"/>
      <c r="J39" s="3"/>
      <c r="K39" s="7" t="n">
        <f aca="true">IF(A39="","",TODAY()-A39)</f>
        <v>8</v>
      </c>
      <c r="L39" s="4"/>
      <c r="M39" s="5"/>
      <c r="N39" s="5"/>
      <c r="O39" s="5"/>
      <c r="P39" s="8" t="s">
        <v>112</v>
      </c>
    </row>
    <row r="40" customFormat="false" ht="18" hidden="false" customHeight="true" outlineLevel="0" collapsed="false">
      <c r="A40" s="9" t="n">
        <v>46232</v>
      </c>
      <c r="B40" s="4" t="str">
        <f aca="false">IF(A40="","",TEXT(A40,"MM-YYYY"))</f>
        <v>07-2026</v>
      </c>
      <c r="C40" s="10" t="s">
        <v>113</v>
      </c>
      <c r="D40" s="11" t="s">
        <v>114</v>
      </c>
      <c r="E40" s="12" t="s">
        <v>19</v>
      </c>
      <c r="F40" s="12" t="s">
        <v>20</v>
      </c>
      <c r="G40" s="10" t="s">
        <v>108</v>
      </c>
      <c r="H40" s="6" t="s">
        <v>35</v>
      </c>
      <c r="I40" s="12"/>
      <c r="J40" s="9"/>
      <c r="K40" s="13" t="n">
        <f aca="true">IF(A40="","",TODAY()-A40)</f>
        <v>8</v>
      </c>
      <c r="L40" s="11"/>
      <c r="M40" s="10"/>
      <c r="N40" s="10"/>
      <c r="O40" s="10"/>
      <c r="P40" s="14" t="s">
        <v>115</v>
      </c>
    </row>
    <row r="41" customFormat="false" ht="18" hidden="false" customHeight="true" outlineLevel="0" collapsed="false">
      <c r="A41" s="3" t="n">
        <v>46232</v>
      </c>
      <c r="B41" s="4" t="str">
        <f aca="false">IF(A41="","",TEXT(A41,"MM-YYYY"))</f>
        <v>07-2026</v>
      </c>
      <c r="C41" s="5" t="s">
        <v>116</v>
      </c>
      <c r="D41" s="4" t="s">
        <v>117</v>
      </c>
      <c r="E41" s="6" t="s">
        <v>19</v>
      </c>
      <c r="F41" s="6" t="s">
        <v>20</v>
      </c>
      <c r="G41" s="5" t="s">
        <v>108</v>
      </c>
      <c r="H41" s="6" t="s">
        <v>22</v>
      </c>
      <c r="I41" s="6"/>
      <c r="J41" s="3"/>
      <c r="K41" s="7" t="n">
        <f aca="true">IF(A41="","",TODAY()-A41)</f>
        <v>8</v>
      </c>
      <c r="L41" s="4"/>
      <c r="M41" s="5"/>
      <c r="N41" s="5"/>
      <c r="O41" s="5"/>
      <c r="P41" s="8" t="s">
        <v>118</v>
      </c>
    </row>
    <row r="42" customFormat="false" ht="18" hidden="false" customHeight="true" outlineLevel="0" collapsed="false">
      <c r="A42" s="9" t="n">
        <v>46232</v>
      </c>
      <c r="B42" s="4" t="str">
        <f aca="false">IF(A42="","",TEXT(A42,"MM-YYYY"))</f>
        <v>07-2026</v>
      </c>
      <c r="C42" s="10" t="s">
        <v>71</v>
      </c>
      <c r="D42" s="11" t="s">
        <v>119</v>
      </c>
      <c r="E42" s="12" t="s">
        <v>19</v>
      </c>
      <c r="F42" s="12" t="s">
        <v>20</v>
      </c>
      <c r="G42" s="10" t="s">
        <v>108</v>
      </c>
      <c r="H42" s="6" t="s">
        <v>26</v>
      </c>
      <c r="I42" s="12"/>
      <c r="J42" s="9"/>
      <c r="K42" s="13" t="n">
        <f aca="true">IF(A42="","",TODAY()-A42)</f>
        <v>8</v>
      </c>
      <c r="L42" s="11"/>
      <c r="M42" s="10"/>
      <c r="N42" s="10"/>
      <c r="O42" s="10"/>
      <c r="P42" s="14" t="s">
        <v>120</v>
      </c>
    </row>
    <row r="43" customFormat="false" ht="18" hidden="false" customHeight="true" outlineLevel="0" collapsed="false">
      <c r="A43" s="3" t="n">
        <v>46232</v>
      </c>
      <c r="B43" s="4" t="str">
        <f aca="false">IF(A43="","",TEXT(A43,"MM-YYYY"))</f>
        <v>07-2026</v>
      </c>
      <c r="C43" s="5" t="s">
        <v>121</v>
      </c>
      <c r="D43" s="4" t="s">
        <v>122</v>
      </c>
      <c r="E43" s="6" t="s">
        <v>19</v>
      </c>
      <c r="F43" s="6" t="s">
        <v>20</v>
      </c>
      <c r="G43" s="5" t="s">
        <v>108</v>
      </c>
      <c r="H43" s="6" t="s">
        <v>22</v>
      </c>
      <c r="I43" s="6"/>
      <c r="J43" s="3"/>
      <c r="K43" s="7" t="n">
        <f aca="true">IF(A43="","",TODAY()-A43)</f>
        <v>8</v>
      </c>
      <c r="L43" s="4"/>
      <c r="M43" s="5"/>
      <c r="N43" s="5"/>
      <c r="O43" s="5"/>
      <c r="P43" s="8" t="s">
        <v>123</v>
      </c>
    </row>
    <row r="44" customFormat="false" ht="18" hidden="false" customHeight="true" outlineLevel="0" collapsed="false">
      <c r="A44" s="9" t="n">
        <v>46232</v>
      </c>
      <c r="B44" s="4" t="str">
        <f aca="false">IF(A44="","",TEXT(A44,"MM-YYYY"))</f>
        <v>07-2026</v>
      </c>
      <c r="C44" s="10" t="s">
        <v>124</v>
      </c>
      <c r="D44" s="11" t="s">
        <v>125</v>
      </c>
      <c r="E44" s="12" t="s">
        <v>19</v>
      </c>
      <c r="F44" s="12" t="s">
        <v>20</v>
      </c>
      <c r="G44" s="10" t="s">
        <v>108</v>
      </c>
      <c r="H44" s="6" t="s">
        <v>22</v>
      </c>
      <c r="I44" s="12"/>
      <c r="J44" s="9"/>
      <c r="K44" s="13" t="n">
        <f aca="true">IF(A44="","",TODAY()-A44)</f>
        <v>8</v>
      </c>
      <c r="L44" s="11"/>
      <c r="M44" s="10"/>
      <c r="N44" s="10"/>
      <c r="O44" s="10"/>
      <c r="P44" s="14" t="s">
        <v>126</v>
      </c>
    </row>
    <row r="45" customFormat="false" ht="18" hidden="false" customHeight="true" outlineLevel="0" collapsed="false">
      <c r="A45" s="3" t="n">
        <v>46232</v>
      </c>
      <c r="B45" s="4" t="str">
        <f aca="false">IF(A45="","",TEXT(A45,"MM-YYYY"))</f>
        <v>07-2026</v>
      </c>
      <c r="C45" s="5" t="s">
        <v>127</v>
      </c>
      <c r="D45" s="4" t="s">
        <v>128</v>
      </c>
      <c r="E45" s="6" t="s">
        <v>19</v>
      </c>
      <c r="F45" s="6" t="s">
        <v>20</v>
      </c>
      <c r="G45" s="5" t="s">
        <v>108</v>
      </c>
      <c r="H45" s="6" t="s">
        <v>22</v>
      </c>
      <c r="I45" s="6"/>
      <c r="J45" s="3"/>
      <c r="K45" s="7" t="n">
        <f aca="true">IF(A45="","",TODAY()-A45)</f>
        <v>8</v>
      </c>
      <c r="L45" s="4"/>
      <c r="M45" s="5"/>
      <c r="N45" s="5"/>
      <c r="O45" s="5"/>
      <c r="P45" s="8" t="s">
        <v>129</v>
      </c>
    </row>
    <row r="46" customFormat="false" ht="18" hidden="false" customHeight="true" outlineLevel="0" collapsed="false">
      <c r="A46" s="9" t="n">
        <v>46233</v>
      </c>
      <c r="B46" s="4" t="str">
        <f aca="false">IF(A46="","",TEXT(A46,"MM-YYYY"))</f>
        <v>07-2026</v>
      </c>
      <c r="C46" s="10" t="s">
        <v>130</v>
      </c>
      <c r="D46" s="11" t="s">
        <v>131</v>
      </c>
      <c r="E46" s="12" t="s">
        <v>19</v>
      </c>
      <c r="F46" s="12" t="s">
        <v>20</v>
      </c>
      <c r="G46" s="10"/>
      <c r="H46" s="6" t="s">
        <v>132</v>
      </c>
      <c r="I46" s="12"/>
      <c r="J46" s="9"/>
      <c r="K46" s="13" t="n">
        <f aca="true">IF(A46="","",TODAY()-A46)</f>
        <v>7</v>
      </c>
      <c r="L46" s="11"/>
      <c r="M46" s="10"/>
      <c r="N46" s="10"/>
      <c r="O46" s="10"/>
      <c r="P46" s="14"/>
    </row>
    <row r="47" customFormat="false" ht="18" hidden="false" customHeight="true" outlineLevel="0" collapsed="false">
      <c r="A47" s="3" t="n">
        <v>46233</v>
      </c>
      <c r="B47" s="4" t="str">
        <f aca="false">IF(A47="","",TEXT(A47,"MM-YYYY"))</f>
        <v>07-2026</v>
      </c>
      <c r="C47" s="5" t="s">
        <v>133</v>
      </c>
      <c r="D47" s="4" t="s">
        <v>134</v>
      </c>
      <c r="E47" s="6" t="s">
        <v>19</v>
      </c>
      <c r="F47" s="6" t="s">
        <v>20</v>
      </c>
      <c r="G47" s="5"/>
      <c r="H47" s="6" t="s">
        <v>132</v>
      </c>
      <c r="I47" s="6"/>
      <c r="J47" s="3"/>
      <c r="K47" s="7" t="n">
        <f aca="true">IF(A47="","",TODAY()-A47)</f>
        <v>7</v>
      </c>
      <c r="L47" s="4"/>
      <c r="M47" s="5"/>
      <c r="N47" s="5"/>
      <c r="O47" s="5"/>
      <c r="P47" s="8" t="s">
        <v>135</v>
      </c>
    </row>
    <row r="48" customFormat="false" ht="18" hidden="false" customHeight="true" outlineLevel="0" collapsed="false">
      <c r="A48" s="9" t="n">
        <v>46233</v>
      </c>
      <c r="B48" s="4" t="str">
        <f aca="false">IF(A48="","",TEXT(A48,"MM-YYYY"))</f>
        <v>07-2026</v>
      </c>
      <c r="C48" s="10" t="s">
        <v>136</v>
      </c>
      <c r="D48" s="11" t="s">
        <v>137</v>
      </c>
      <c r="E48" s="12" t="s">
        <v>19</v>
      </c>
      <c r="F48" s="12" t="s">
        <v>20</v>
      </c>
      <c r="G48" s="10"/>
      <c r="H48" s="6" t="s">
        <v>132</v>
      </c>
      <c r="I48" s="12"/>
      <c r="J48" s="9"/>
      <c r="K48" s="13" t="n">
        <f aca="true">IF(A48="","",TODAY()-A48)</f>
        <v>7</v>
      </c>
      <c r="L48" s="11"/>
      <c r="M48" s="10"/>
      <c r="N48" s="10"/>
      <c r="O48" s="10"/>
      <c r="P48" s="14"/>
    </row>
    <row r="49" customFormat="false" ht="18" hidden="false" customHeight="true" outlineLevel="0" collapsed="false">
      <c r="A49" s="3" t="n">
        <v>46234</v>
      </c>
      <c r="B49" s="4" t="str">
        <f aca="false">IF(A49="","",TEXT(A49,"MM-YYYY"))</f>
        <v>07-2026</v>
      </c>
      <c r="C49" s="5" t="s">
        <v>138</v>
      </c>
      <c r="D49" s="4" t="s">
        <v>139</v>
      </c>
      <c r="E49" s="6" t="s">
        <v>19</v>
      </c>
      <c r="F49" s="6" t="s">
        <v>20</v>
      </c>
      <c r="G49" s="5"/>
      <c r="H49" s="6" t="s">
        <v>132</v>
      </c>
      <c r="I49" s="6"/>
      <c r="J49" s="3"/>
      <c r="K49" s="7" t="n">
        <f aca="true">IF(A49="","",TODAY()-A49)</f>
        <v>6</v>
      </c>
      <c r="L49" s="4"/>
      <c r="M49" s="5"/>
      <c r="N49" s="5"/>
      <c r="O49" s="5"/>
      <c r="P49" s="8" t="s">
        <v>140</v>
      </c>
    </row>
    <row r="50" customFormat="false" ht="18" hidden="false" customHeight="true" outlineLevel="0" collapsed="false">
      <c r="A50" s="9" t="n">
        <v>46234</v>
      </c>
      <c r="B50" s="4" t="str">
        <f aca="false">IF(A50="","",TEXT(A50,"MM-YYYY"))</f>
        <v>07-2026</v>
      </c>
      <c r="C50" s="10" t="s">
        <v>141</v>
      </c>
      <c r="D50" s="11" t="s">
        <v>142</v>
      </c>
      <c r="E50" s="12" t="s">
        <v>19</v>
      </c>
      <c r="F50" s="12" t="s">
        <v>20</v>
      </c>
      <c r="G50" s="10"/>
      <c r="H50" s="6" t="s">
        <v>132</v>
      </c>
      <c r="I50" s="12"/>
      <c r="J50" s="9"/>
      <c r="K50" s="13" t="n">
        <f aca="true">IF(A50="","",TODAY()-A50)</f>
        <v>6</v>
      </c>
      <c r="L50" s="11"/>
      <c r="M50" s="10"/>
      <c r="N50" s="10"/>
      <c r="O50" s="10"/>
      <c r="P50" s="14" t="s">
        <v>143</v>
      </c>
    </row>
    <row r="51" customFormat="false" ht="18" hidden="false" customHeight="true" outlineLevel="0" collapsed="false">
      <c r="A51" s="3" t="n">
        <v>46234</v>
      </c>
      <c r="B51" s="4" t="str">
        <f aca="false">IF(A51="","",TEXT(A51,"MM-YYYY"))</f>
        <v>07-2026</v>
      </c>
      <c r="C51" s="5" t="s">
        <v>144</v>
      </c>
      <c r="D51" s="4" t="s">
        <v>145</v>
      </c>
      <c r="E51" s="6" t="s">
        <v>19</v>
      </c>
      <c r="F51" s="6" t="s">
        <v>20</v>
      </c>
      <c r="G51" s="5"/>
      <c r="H51" s="6" t="s">
        <v>132</v>
      </c>
      <c r="I51" s="6"/>
      <c r="J51" s="3"/>
      <c r="K51" s="7" t="n">
        <f aca="true">IF(A51="","",TODAY()-A51)</f>
        <v>6</v>
      </c>
      <c r="L51" s="4"/>
      <c r="M51" s="5"/>
      <c r="N51" s="5"/>
      <c r="O51" s="5"/>
      <c r="P51" s="8"/>
    </row>
    <row r="52" customFormat="false" ht="18" hidden="false" customHeight="true" outlineLevel="0" collapsed="false">
      <c r="A52" s="9" t="n">
        <v>46223</v>
      </c>
      <c r="B52" s="4" t="str">
        <f aca="false">IF(A52="","",TEXT(A52,"MM-YYYY"))</f>
        <v>07-2026</v>
      </c>
      <c r="C52" s="10" t="n">
        <v>3515585305</v>
      </c>
      <c r="D52" s="11" t="s">
        <v>146</v>
      </c>
      <c r="E52" s="12" t="s">
        <v>19</v>
      </c>
      <c r="F52" s="12" t="s">
        <v>147</v>
      </c>
      <c r="G52" s="10"/>
      <c r="H52" s="6" t="s">
        <v>26</v>
      </c>
      <c r="I52" s="12"/>
      <c r="J52" s="9"/>
      <c r="K52" s="13" t="n">
        <f aca="true">IF(A52="","",TODAY()-A52)</f>
        <v>17</v>
      </c>
      <c r="L52" s="11"/>
      <c r="M52" s="10"/>
      <c r="N52" s="10"/>
      <c r="O52" s="10"/>
      <c r="P52" s="14" t="s">
        <v>148</v>
      </c>
    </row>
    <row r="53" customFormat="false" ht="18" hidden="false" customHeight="true" outlineLevel="0" collapsed="false">
      <c r="A53" s="3" t="n">
        <v>46223</v>
      </c>
      <c r="B53" s="4" t="str">
        <f aca="false">IF(A53="","",TEXT(A53,"MM-YYYY"))</f>
        <v>07-2026</v>
      </c>
      <c r="C53" s="5" t="n">
        <v>3515133675</v>
      </c>
      <c r="D53" s="4" t="s">
        <v>149</v>
      </c>
      <c r="E53" s="6" t="s">
        <v>19</v>
      </c>
      <c r="F53" s="6" t="s">
        <v>147</v>
      </c>
      <c r="G53" s="5"/>
      <c r="H53" s="6" t="s">
        <v>26</v>
      </c>
      <c r="I53" s="6"/>
      <c r="J53" s="3"/>
      <c r="K53" s="7" t="n">
        <f aca="true">IF(A53="","",TODAY()-A53)</f>
        <v>17</v>
      </c>
      <c r="L53" s="4"/>
      <c r="M53" s="5"/>
      <c r="N53" s="5"/>
      <c r="O53" s="5"/>
      <c r="P53" s="8" t="s">
        <v>150</v>
      </c>
    </row>
    <row r="54" customFormat="false" ht="18" hidden="false" customHeight="true" outlineLevel="0" collapsed="false">
      <c r="A54" s="9" t="n">
        <v>46223</v>
      </c>
      <c r="B54" s="4" t="str">
        <f aca="false">IF(A54="","",TEXT(A54,"MM-YYYY"))</f>
        <v>07-2026</v>
      </c>
      <c r="C54" s="10" t="n">
        <v>3513223740</v>
      </c>
      <c r="D54" s="11" t="s">
        <v>151</v>
      </c>
      <c r="E54" s="12" t="s">
        <v>19</v>
      </c>
      <c r="F54" s="12" t="s">
        <v>147</v>
      </c>
      <c r="G54" s="10"/>
      <c r="H54" s="6" t="s">
        <v>26</v>
      </c>
      <c r="I54" s="12"/>
      <c r="J54" s="9"/>
      <c r="K54" s="13" t="n">
        <f aca="true">IF(A54="","",TODAY()-A54)</f>
        <v>17</v>
      </c>
      <c r="L54" s="11"/>
      <c r="M54" s="10"/>
      <c r="N54" s="10"/>
      <c r="O54" s="10"/>
      <c r="P54" s="14" t="s">
        <v>152</v>
      </c>
    </row>
    <row r="55" customFormat="false" ht="18" hidden="false" customHeight="true" outlineLevel="0" collapsed="false">
      <c r="A55" s="3" t="n">
        <v>46223</v>
      </c>
      <c r="B55" s="4" t="str">
        <f aca="false">IF(A55="","",TEXT(A55,"MM-YYYY"))</f>
        <v>07-2026</v>
      </c>
      <c r="C55" s="5" t="n">
        <v>3576477300</v>
      </c>
      <c r="D55" s="4" t="s">
        <v>153</v>
      </c>
      <c r="E55" s="6" t="s">
        <v>19</v>
      </c>
      <c r="F55" s="6" t="s">
        <v>147</v>
      </c>
      <c r="G55" s="5"/>
      <c r="H55" s="6" t="s">
        <v>22</v>
      </c>
      <c r="I55" s="6"/>
      <c r="J55" s="3"/>
      <c r="K55" s="7" t="n">
        <f aca="true">IF(A55="","",TODAY()-A55)</f>
        <v>17</v>
      </c>
      <c r="L55" s="4"/>
      <c r="M55" s="5"/>
      <c r="N55" s="5"/>
      <c r="O55" s="5"/>
      <c r="P55" s="8" t="s">
        <v>154</v>
      </c>
    </row>
    <row r="56" customFormat="false" ht="18" hidden="false" customHeight="true" outlineLevel="0" collapsed="false">
      <c r="A56" s="9" t="n">
        <v>46225</v>
      </c>
      <c r="B56" s="4" t="str">
        <f aca="false">IF(A56="","",TEXT(A56,"MM-YYYY"))</f>
        <v>07-2026</v>
      </c>
      <c r="C56" s="10" t="n">
        <v>3512465207</v>
      </c>
      <c r="D56" s="11" t="s">
        <v>155</v>
      </c>
      <c r="E56" s="12" t="s">
        <v>19</v>
      </c>
      <c r="F56" s="12" t="s">
        <v>147</v>
      </c>
      <c r="G56" s="10"/>
      <c r="H56" s="6" t="s">
        <v>35</v>
      </c>
      <c r="I56" s="12"/>
      <c r="J56" s="9"/>
      <c r="K56" s="13" t="n">
        <f aca="true">IF(A56="","",TODAY()-A56)</f>
        <v>15</v>
      </c>
      <c r="L56" s="11"/>
      <c r="M56" s="10"/>
      <c r="N56" s="10"/>
      <c r="O56" s="10"/>
      <c r="P56" s="14" t="s">
        <v>156</v>
      </c>
    </row>
    <row r="57" customFormat="false" ht="18" hidden="false" customHeight="true" outlineLevel="0" collapsed="false">
      <c r="A57" s="3" t="n">
        <v>46226</v>
      </c>
      <c r="B57" s="4" t="str">
        <f aca="false">IF(A57="","",TEXT(A57,"MM-YYYY"))</f>
        <v>07-2026</v>
      </c>
      <c r="C57" s="5" t="n">
        <v>3518107536</v>
      </c>
      <c r="D57" s="4" t="s">
        <v>157</v>
      </c>
      <c r="E57" s="6" t="s">
        <v>19</v>
      </c>
      <c r="F57" s="6" t="s">
        <v>147</v>
      </c>
      <c r="G57" s="5"/>
      <c r="H57" s="6" t="s">
        <v>22</v>
      </c>
      <c r="I57" s="6"/>
      <c r="J57" s="3"/>
      <c r="K57" s="7" t="n">
        <f aca="true">IF(A57="","",TODAY()-A57)</f>
        <v>14</v>
      </c>
      <c r="L57" s="4"/>
      <c r="M57" s="5"/>
      <c r="N57" s="5"/>
      <c r="O57" s="5"/>
      <c r="P57" s="8" t="s">
        <v>158</v>
      </c>
    </row>
    <row r="58" customFormat="false" ht="18" hidden="false" customHeight="true" outlineLevel="0" collapsed="false">
      <c r="A58" s="9" t="n">
        <v>46226</v>
      </c>
      <c r="B58" s="4" t="str">
        <f aca="false">IF(A58="","",TEXT(A58,"MM-YYYY"))</f>
        <v>07-2026</v>
      </c>
      <c r="C58" s="10" t="n">
        <v>3512839355</v>
      </c>
      <c r="D58" s="11" t="s">
        <v>159</v>
      </c>
      <c r="E58" s="12" t="s">
        <v>19</v>
      </c>
      <c r="F58" s="12" t="s">
        <v>147</v>
      </c>
      <c r="G58" s="10"/>
      <c r="H58" s="6" t="s">
        <v>35</v>
      </c>
      <c r="I58" s="12"/>
      <c r="J58" s="9"/>
      <c r="K58" s="13" t="n">
        <f aca="true">IF(A58="","",TODAY()-A58)</f>
        <v>14</v>
      </c>
      <c r="L58" s="11"/>
      <c r="M58" s="10"/>
      <c r="N58" s="10"/>
      <c r="O58" s="10"/>
      <c r="P58" s="14" t="s">
        <v>160</v>
      </c>
    </row>
    <row r="59" customFormat="false" ht="18" hidden="false" customHeight="true" outlineLevel="0" collapsed="false">
      <c r="A59" s="3" t="n">
        <v>46226</v>
      </c>
      <c r="B59" s="4" t="str">
        <f aca="false">IF(A59="","",TEXT(A59,"MM-YYYY"))</f>
        <v>07-2026</v>
      </c>
      <c r="C59" s="5" t="n">
        <v>3517558689</v>
      </c>
      <c r="D59" s="4" t="s">
        <v>161</v>
      </c>
      <c r="E59" s="6" t="s">
        <v>19</v>
      </c>
      <c r="F59" s="6" t="s">
        <v>147</v>
      </c>
      <c r="G59" s="5"/>
      <c r="H59" s="6" t="s">
        <v>26</v>
      </c>
      <c r="I59" s="6"/>
      <c r="J59" s="3"/>
      <c r="K59" s="7" t="n">
        <f aca="true">IF(A59="","",TODAY()-A59)</f>
        <v>14</v>
      </c>
      <c r="L59" s="4"/>
      <c r="M59" s="5"/>
      <c r="N59" s="5"/>
      <c r="O59" s="5"/>
      <c r="P59" s="8" t="s">
        <v>162</v>
      </c>
    </row>
    <row r="60" customFormat="false" ht="18" hidden="false" customHeight="true" outlineLevel="0" collapsed="false">
      <c r="A60" s="9" t="n">
        <v>46226</v>
      </c>
      <c r="B60" s="4" t="str">
        <f aca="false">IF(A60="","",TEXT(A60,"MM-YYYY"))</f>
        <v>07-2026</v>
      </c>
      <c r="C60" s="10" t="n">
        <v>3513839599</v>
      </c>
      <c r="D60" s="11" t="s">
        <v>163</v>
      </c>
      <c r="E60" s="12" t="s">
        <v>19</v>
      </c>
      <c r="F60" s="12" t="s">
        <v>147</v>
      </c>
      <c r="G60" s="10"/>
      <c r="H60" s="6" t="s">
        <v>26</v>
      </c>
      <c r="I60" s="12"/>
      <c r="J60" s="9"/>
      <c r="K60" s="13" t="n">
        <f aca="true">IF(A60="","",TODAY()-A60)</f>
        <v>14</v>
      </c>
      <c r="L60" s="11"/>
      <c r="M60" s="10"/>
      <c r="N60" s="10"/>
      <c r="O60" s="10"/>
      <c r="P60" s="14" t="s">
        <v>164</v>
      </c>
    </row>
    <row r="61" customFormat="false" ht="18" hidden="false" customHeight="true" outlineLevel="0" collapsed="false">
      <c r="A61" s="3" t="n">
        <v>46226</v>
      </c>
      <c r="B61" s="4" t="str">
        <f aca="false">IF(A61="","",TEXT(A61,"MM-YYYY"))</f>
        <v>07-2026</v>
      </c>
      <c r="C61" s="5" t="n">
        <v>3515949702</v>
      </c>
      <c r="D61" s="4" t="s">
        <v>165</v>
      </c>
      <c r="E61" s="6" t="s">
        <v>19</v>
      </c>
      <c r="F61" s="6" t="s">
        <v>147</v>
      </c>
      <c r="G61" s="5"/>
      <c r="H61" s="6" t="s">
        <v>22</v>
      </c>
      <c r="I61" s="6"/>
      <c r="J61" s="3"/>
      <c r="K61" s="7" t="n">
        <f aca="true">IF(A61="","",TODAY()-A61)</f>
        <v>14</v>
      </c>
      <c r="L61" s="4"/>
      <c r="M61" s="5"/>
      <c r="N61" s="5"/>
      <c r="O61" s="5"/>
      <c r="P61" s="8" t="s">
        <v>166</v>
      </c>
    </row>
    <row r="62" customFormat="false" ht="18" hidden="false" customHeight="true" outlineLevel="0" collapsed="false">
      <c r="A62" s="9" t="n">
        <v>46226</v>
      </c>
      <c r="B62" s="4" t="str">
        <f aca="false">IF(A62="","",TEXT(A62,"MM-YYYY"))</f>
        <v>07-2026</v>
      </c>
      <c r="C62" s="10" t="n">
        <v>3515435436</v>
      </c>
      <c r="D62" s="11" t="s">
        <v>167</v>
      </c>
      <c r="E62" s="12" t="s">
        <v>19</v>
      </c>
      <c r="F62" s="12" t="s">
        <v>147</v>
      </c>
      <c r="G62" s="10"/>
      <c r="H62" s="6" t="s">
        <v>26</v>
      </c>
      <c r="I62" s="12"/>
      <c r="J62" s="9"/>
      <c r="K62" s="13" t="n">
        <f aca="true">IF(A62="","",TODAY()-A62)</f>
        <v>14</v>
      </c>
      <c r="L62" s="11"/>
      <c r="M62" s="10"/>
      <c r="N62" s="10"/>
      <c r="O62" s="10"/>
      <c r="P62" s="14" t="s">
        <v>168</v>
      </c>
    </row>
    <row r="63" customFormat="false" ht="18" hidden="false" customHeight="true" outlineLevel="0" collapsed="false">
      <c r="A63" s="3" t="n">
        <v>46226</v>
      </c>
      <c r="B63" s="4" t="str">
        <f aca="false">IF(A63="","",TEXT(A63,"MM-YYYY"))</f>
        <v>07-2026</v>
      </c>
      <c r="C63" s="5" t="n">
        <v>3513998072</v>
      </c>
      <c r="D63" s="4" t="s">
        <v>169</v>
      </c>
      <c r="E63" s="6" t="s">
        <v>19</v>
      </c>
      <c r="F63" s="6" t="s">
        <v>147</v>
      </c>
      <c r="G63" s="5"/>
      <c r="H63" s="6" t="s">
        <v>26</v>
      </c>
      <c r="I63" s="6"/>
      <c r="J63" s="3"/>
      <c r="K63" s="7" t="n">
        <f aca="true">IF(A63="","",TODAY()-A63)</f>
        <v>14</v>
      </c>
      <c r="L63" s="4"/>
      <c r="M63" s="5"/>
      <c r="N63" s="5"/>
      <c r="O63" s="5"/>
      <c r="P63" s="8" t="s">
        <v>170</v>
      </c>
    </row>
    <row r="64" customFormat="false" ht="18" hidden="false" customHeight="true" outlineLevel="0" collapsed="false">
      <c r="A64" s="9" t="n">
        <v>46226</v>
      </c>
      <c r="B64" s="4" t="str">
        <f aca="false">IF(A64="","",TEXT(A64,"MM-YYYY"))</f>
        <v>07-2026</v>
      </c>
      <c r="C64" s="10" t="n">
        <v>3513998072</v>
      </c>
      <c r="D64" s="11" t="s">
        <v>171</v>
      </c>
      <c r="E64" s="12" t="s">
        <v>19</v>
      </c>
      <c r="F64" s="12" t="s">
        <v>147</v>
      </c>
      <c r="G64" s="10"/>
      <c r="H64" s="6" t="s">
        <v>26</v>
      </c>
      <c r="I64" s="12"/>
      <c r="J64" s="9"/>
      <c r="K64" s="13" t="n">
        <f aca="true">IF(A64="","",TODAY()-A64)</f>
        <v>14</v>
      </c>
      <c r="L64" s="11"/>
      <c r="M64" s="10"/>
      <c r="N64" s="10"/>
      <c r="O64" s="10"/>
      <c r="P64" s="14" t="s">
        <v>172</v>
      </c>
    </row>
    <row r="65" customFormat="false" ht="18" hidden="false" customHeight="true" outlineLevel="0" collapsed="false">
      <c r="A65" s="3" t="n">
        <v>46227</v>
      </c>
      <c r="B65" s="4" t="str">
        <f aca="false">IF(A65="","",TEXT(A65,"MM-YYYY"))</f>
        <v>07-2026</v>
      </c>
      <c r="C65" s="5" t="n">
        <v>3512414687</v>
      </c>
      <c r="D65" s="4" t="s">
        <v>173</v>
      </c>
      <c r="E65" s="6" t="s">
        <v>19</v>
      </c>
      <c r="F65" s="6" t="s">
        <v>147</v>
      </c>
      <c r="G65" s="5"/>
      <c r="H65" s="6" t="s">
        <v>22</v>
      </c>
      <c r="I65" s="6"/>
      <c r="J65" s="3"/>
      <c r="K65" s="7" t="n">
        <f aca="true">IF(A65="","",TODAY()-A65)</f>
        <v>13</v>
      </c>
      <c r="L65" s="4"/>
      <c r="M65" s="5"/>
      <c r="N65" s="5"/>
      <c r="O65" s="5"/>
      <c r="P65" s="8" t="s">
        <v>174</v>
      </c>
    </row>
    <row r="66" customFormat="false" ht="18" hidden="false" customHeight="true" outlineLevel="0" collapsed="false">
      <c r="A66" s="9" t="n">
        <v>46227</v>
      </c>
      <c r="B66" s="4" t="str">
        <f aca="false">IF(A66="","",TEXT(A66,"MM-YYYY"))</f>
        <v>07-2026</v>
      </c>
      <c r="C66" s="10" t="n">
        <v>3518128055</v>
      </c>
      <c r="D66" s="11" t="s">
        <v>175</v>
      </c>
      <c r="E66" s="12" t="s">
        <v>19</v>
      </c>
      <c r="F66" s="12" t="s">
        <v>147</v>
      </c>
      <c r="G66" s="10"/>
      <c r="H66" s="6" t="s">
        <v>22</v>
      </c>
      <c r="I66" s="12"/>
      <c r="J66" s="9"/>
      <c r="K66" s="13" t="n">
        <f aca="true">IF(A66="","",TODAY()-A66)</f>
        <v>13</v>
      </c>
      <c r="L66" s="11"/>
      <c r="M66" s="10"/>
      <c r="N66" s="10"/>
      <c r="O66" s="10"/>
      <c r="P66" s="14" t="s">
        <v>174</v>
      </c>
    </row>
    <row r="67" customFormat="false" ht="18" hidden="false" customHeight="true" outlineLevel="0" collapsed="false">
      <c r="A67" s="3"/>
      <c r="B67" s="4" t="str">
        <f aca="false">IF(A67="","",TEXT(A67,"MM-YYYY"))</f>
        <v/>
      </c>
      <c r="C67" s="5"/>
      <c r="D67" s="4" t="s">
        <v>176</v>
      </c>
      <c r="E67" s="6" t="s">
        <v>19</v>
      </c>
      <c r="F67" s="6" t="s">
        <v>147</v>
      </c>
      <c r="G67" s="5"/>
      <c r="H67" s="6" t="s">
        <v>132</v>
      </c>
      <c r="I67" s="6"/>
      <c r="J67" s="3"/>
      <c r="K67" s="7" t="str">
        <f aca="true">IF(A67="","",TODAY()-A67)</f>
        <v/>
      </c>
      <c r="L67" s="4"/>
      <c r="M67" s="5"/>
      <c r="N67" s="5"/>
      <c r="O67" s="5"/>
      <c r="P67" s="8"/>
    </row>
    <row r="68" customFormat="false" ht="18" hidden="false" customHeight="true" outlineLevel="0" collapsed="false">
      <c r="A68" s="9" t="n">
        <v>46230</v>
      </c>
      <c r="B68" s="4" t="str">
        <f aca="false">IF(A68="","",TEXT(A68,"MM-YYYY"))</f>
        <v>07-2026</v>
      </c>
      <c r="C68" s="10" t="n">
        <v>3572607383</v>
      </c>
      <c r="D68" s="11" t="s">
        <v>177</v>
      </c>
      <c r="E68" s="12" t="s">
        <v>19</v>
      </c>
      <c r="F68" s="12" t="s">
        <v>147</v>
      </c>
      <c r="G68" s="10"/>
      <c r="H68" s="6" t="s">
        <v>26</v>
      </c>
      <c r="I68" s="12"/>
      <c r="J68" s="9"/>
      <c r="K68" s="13" t="n">
        <f aca="true">IF(A68="","",TODAY()-A68)</f>
        <v>10</v>
      </c>
      <c r="L68" s="11"/>
      <c r="M68" s="10"/>
      <c r="N68" s="10"/>
      <c r="O68" s="10"/>
      <c r="P68" s="14" t="s">
        <v>178</v>
      </c>
    </row>
    <row r="69" customFormat="false" ht="18" hidden="false" customHeight="true" outlineLevel="0" collapsed="false">
      <c r="A69" s="3" t="n">
        <v>46230</v>
      </c>
      <c r="B69" s="4" t="str">
        <f aca="false">IF(A69="","",TEXT(A69,"MM-YYYY"))</f>
        <v>07-2026</v>
      </c>
      <c r="C69" s="5" t="n">
        <v>3572524324</v>
      </c>
      <c r="D69" s="4" t="s">
        <v>179</v>
      </c>
      <c r="E69" s="6" t="s">
        <v>19</v>
      </c>
      <c r="F69" s="6" t="s">
        <v>147</v>
      </c>
      <c r="G69" s="5"/>
      <c r="H69" s="6" t="s">
        <v>35</v>
      </c>
      <c r="I69" s="6"/>
      <c r="J69" s="3"/>
      <c r="K69" s="7" t="n">
        <f aca="true">IF(A69="","",TODAY()-A69)</f>
        <v>10</v>
      </c>
      <c r="L69" s="4"/>
      <c r="M69" s="5"/>
      <c r="N69" s="5"/>
      <c r="O69" s="5"/>
      <c r="P69" s="8" t="s">
        <v>180</v>
      </c>
    </row>
    <row r="70" customFormat="false" ht="18" hidden="false" customHeight="true" outlineLevel="0" collapsed="false">
      <c r="A70" s="9" t="n">
        <v>46230</v>
      </c>
      <c r="B70" s="4" t="str">
        <f aca="false">IF(A70="","",TEXT(A70,"MM-YYYY"))</f>
        <v>07-2026</v>
      </c>
      <c r="C70" s="10" t="n">
        <v>3572673287</v>
      </c>
      <c r="D70" s="11" t="s">
        <v>181</v>
      </c>
      <c r="E70" s="12" t="s">
        <v>19</v>
      </c>
      <c r="F70" s="12" t="s">
        <v>147</v>
      </c>
      <c r="G70" s="10"/>
      <c r="H70" s="6" t="s">
        <v>26</v>
      </c>
      <c r="I70" s="12"/>
      <c r="J70" s="9"/>
      <c r="K70" s="13" t="n">
        <f aca="true">IF(A70="","",TODAY()-A70)</f>
        <v>10</v>
      </c>
      <c r="L70" s="11"/>
      <c r="M70" s="10"/>
      <c r="N70" s="10"/>
      <c r="O70" s="10"/>
      <c r="P70" s="14" t="s">
        <v>182</v>
      </c>
    </row>
    <row r="71" customFormat="false" ht="18" hidden="false" customHeight="true" outlineLevel="0" collapsed="false">
      <c r="A71" s="3" t="n">
        <v>46230</v>
      </c>
      <c r="B71" s="4" t="str">
        <f aca="false">IF(A71="","",TEXT(A71,"MM-YYYY"))</f>
        <v>07-2026</v>
      </c>
      <c r="C71" s="5" t="n">
        <v>3572671852</v>
      </c>
      <c r="D71" s="4" t="s">
        <v>183</v>
      </c>
      <c r="E71" s="6" t="s">
        <v>19</v>
      </c>
      <c r="F71" s="6" t="s">
        <v>147</v>
      </c>
      <c r="G71" s="5"/>
      <c r="H71" s="6" t="s">
        <v>35</v>
      </c>
      <c r="I71" s="6"/>
      <c r="J71" s="3"/>
      <c r="K71" s="7" t="n">
        <f aca="true">IF(A71="","",TODAY()-A71)</f>
        <v>10</v>
      </c>
      <c r="L71" s="4"/>
      <c r="M71" s="5"/>
      <c r="N71" s="5"/>
      <c r="O71" s="5"/>
      <c r="P71" s="8" t="s">
        <v>184</v>
      </c>
    </row>
    <row r="72" customFormat="false" ht="18" hidden="false" customHeight="true" outlineLevel="0" collapsed="false">
      <c r="A72" s="9" t="n">
        <v>46230</v>
      </c>
      <c r="B72" s="4" t="str">
        <f aca="false">IF(A72="","",TEXT(A72,"MM-YYYY"))</f>
        <v>07-2026</v>
      </c>
      <c r="C72" s="10" t="n">
        <v>3572448529</v>
      </c>
      <c r="D72" s="11" t="s">
        <v>185</v>
      </c>
      <c r="E72" s="12" t="s">
        <v>19</v>
      </c>
      <c r="F72" s="12" t="s">
        <v>147</v>
      </c>
      <c r="G72" s="10"/>
      <c r="H72" s="6" t="s">
        <v>26</v>
      </c>
      <c r="I72" s="12"/>
      <c r="J72" s="9"/>
      <c r="K72" s="13" t="n">
        <f aca="true">IF(A72="","",TODAY()-A72)</f>
        <v>10</v>
      </c>
      <c r="L72" s="11"/>
      <c r="M72" s="10"/>
      <c r="N72" s="10"/>
      <c r="O72" s="10"/>
      <c r="P72" s="14" t="s">
        <v>186</v>
      </c>
    </row>
    <row r="73" customFormat="false" ht="18" hidden="false" customHeight="true" outlineLevel="0" collapsed="false">
      <c r="A73" s="3" t="n">
        <v>46230</v>
      </c>
      <c r="B73" s="4" t="str">
        <f aca="false">IF(A73="","",TEXT(A73,"MM-YYYY"))</f>
        <v>07-2026</v>
      </c>
      <c r="C73" s="5" t="n">
        <v>3572530834</v>
      </c>
      <c r="D73" s="4" t="s">
        <v>187</v>
      </c>
      <c r="E73" s="6" t="s">
        <v>19</v>
      </c>
      <c r="F73" s="6" t="s">
        <v>147</v>
      </c>
      <c r="G73" s="5"/>
      <c r="H73" s="6" t="s">
        <v>35</v>
      </c>
      <c r="I73" s="6"/>
      <c r="J73" s="3"/>
      <c r="K73" s="7" t="n">
        <f aca="true">IF(A73="","",TODAY()-A73)</f>
        <v>10</v>
      </c>
      <c r="L73" s="4"/>
      <c r="M73" s="5"/>
      <c r="N73" s="5"/>
      <c r="O73" s="5"/>
      <c r="P73" s="8" t="s">
        <v>188</v>
      </c>
    </row>
    <row r="74" customFormat="false" ht="18" hidden="false" customHeight="true" outlineLevel="0" collapsed="false">
      <c r="A74" s="9" t="n">
        <v>46230</v>
      </c>
      <c r="B74" s="4" t="str">
        <f aca="false">IF(A74="","",TEXT(A74,"MM-YYYY"))</f>
        <v>07-2026</v>
      </c>
      <c r="C74" s="10" t="n">
        <v>3572522288</v>
      </c>
      <c r="D74" s="11" t="s">
        <v>189</v>
      </c>
      <c r="E74" s="12" t="s">
        <v>19</v>
      </c>
      <c r="F74" s="12" t="s">
        <v>147</v>
      </c>
      <c r="G74" s="10"/>
      <c r="H74" s="6" t="s">
        <v>35</v>
      </c>
      <c r="I74" s="12"/>
      <c r="J74" s="9"/>
      <c r="K74" s="13" t="n">
        <f aca="true">IF(A74="","",TODAY()-A74)</f>
        <v>10</v>
      </c>
      <c r="L74" s="11"/>
      <c r="M74" s="10"/>
      <c r="N74" s="10"/>
      <c r="O74" s="10"/>
      <c r="P74" s="14" t="s">
        <v>190</v>
      </c>
    </row>
    <row r="75" customFormat="false" ht="18" hidden="false" customHeight="true" outlineLevel="0" collapsed="false">
      <c r="A75" s="3" t="n">
        <v>46230</v>
      </c>
      <c r="B75" s="4" t="str">
        <f aca="false">IF(A75="","",TEXT(A75,"MM-YYYY"))</f>
        <v>07-2026</v>
      </c>
      <c r="C75" s="5" t="n">
        <v>3572444732</v>
      </c>
      <c r="D75" s="4" t="s">
        <v>191</v>
      </c>
      <c r="E75" s="6" t="s">
        <v>19</v>
      </c>
      <c r="F75" s="6" t="s">
        <v>147</v>
      </c>
      <c r="G75" s="5"/>
      <c r="H75" s="6" t="s">
        <v>35</v>
      </c>
      <c r="I75" s="6"/>
      <c r="J75" s="3"/>
      <c r="K75" s="7" t="n">
        <f aca="true">IF(A75="","",TODAY()-A75)</f>
        <v>10</v>
      </c>
      <c r="L75" s="4"/>
      <c r="M75" s="5"/>
      <c r="N75" s="5"/>
      <c r="O75" s="5"/>
      <c r="P75" s="8" t="s">
        <v>192</v>
      </c>
    </row>
    <row r="76" customFormat="false" ht="18" hidden="false" customHeight="true" outlineLevel="0" collapsed="false">
      <c r="A76" s="9" t="n">
        <v>46230</v>
      </c>
      <c r="B76" s="4" t="str">
        <f aca="false">IF(A76="","",TEXT(A76,"MM-YYYY"))</f>
        <v>07-2026</v>
      </c>
      <c r="C76" s="10" t="n">
        <v>3572570691</v>
      </c>
      <c r="D76" s="11" t="s">
        <v>193</v>
      </c>
      <c r="E76" s="12" t="s">
        <v>19</v>
      </c>
      <c r="F76" s="12" t="s">
        <v>147</v>
      </c>
      <c r="G76" s="10"/>
      <c r="H76" s="6" t="s">
        <v>35</v>
      </c>
      <c r="I76" s="12"/>
      <c r="J76" s="9"/>
      <c r="K76" s="13" t="n">
        <f aca="true">IF(A76="","",TODAY()-A76)</f>
        <v>10</v>
      </c>
      <c r="L76" s="11"/>
      <c r="M76" s="10"/>
      <c r="N76" s="10"/>
      <c r="O76" s="10"/>
      <c r="P76" s="14" t="s">
        <v>192</v>
      </c>
    </row>
    <row r="77" customFormat="false" ht="18" hidden="false" customHeight="true" outlineLevel="0" collapsed="false">
      <c r="A77" s="3" t="n">
        <v>46233</v>
      </c>
      <c r="B77" s="4" t="str">
        <f aca="false">IF(A77="","",TEXT(A77,"MM-YYYY"))</f>
        <v>07-2026</v>
      </c>
      <c r="C77" s="5" t="n">
        <v>3518023412</v>
      </c>
      <c r="D77" s="4" t="s">
        <v>194</v>
      </c>
      <c r="E77" s="6" t="s">
        <v>19</v>
      </c>
      <c r="F77" s="6" t="s">
        <v>147</v>
      </c>
      <c r="G77" s="5"/>
      <c r="H77" s="6" t="s">
        <v>35</v>
      </c>
      <c r="I77" s="6"/>
      <c r="J77" s="3"/>
      <c r="K77" s="7" t="n">
        <f aca="true">IF(A77="","",TODAY()-A77)</f>
        <v>7</v>
      </c>
      <c r="L77" s="4"/>
      <c r="M77" s="5"/>
      <c r="N77" s="5"/>
      <c r="O77" s="5"/>
      <c r="P77" s="8" t="s">
        <v>195</v>
      </c>
    </row>
    <row r="78" customFormat="false" ht="18" hidden="false" customHeight="true" outlineLevel="0" collapsed="false">
      <c r="A78" s="9" t="n">
        <v>46233</v>
      </c>
      <c r="B78" s="4" t="str">
        <f aca="false">IF(A78="","",TEXT(A78,"MM-YYYY"))</f>
        <v>07-2026</v>
      </c>
      <c r="C78" s="10" t="n">
        <v>3547662572</v>
      </c>
      <c r="D78" s="11" t="s">
        <v>196</v>
      </c>
      <c r="E78" s="12" t="s">
        <v>19</v>
      </c>
      <c r="F78" s="12" t="s">
        <v>147</v>
      </c>
      <c r="G78" s="10"/>
      <c r="H78" s="6" t="s">
        <v>35</v>
      </c>
      <c r="I78" s="12"/>
      <c r="J78" s="9"/>
      <c r="K78" s="13" t="n">
        <f aca="true">IF(A78="","",TODAY()-A78)</f>
        <v>7</v>
      </c>
      <c r="L78" s="11"/>
      <c r="M78" s="10"/>
      <c r="N78" s="10"/>
      <c r="O78" s="10"/>
      <c r="P78" s="14" t="s">
        <v>195</v>
      </c>
    </row>
    <row r="79" customFormat="false" ht="18" hidden="false" customHeight="true" outlineLevel="0" collapsed="false">
      <c r="A79" s="3" t="n">
        <v>46233</v>
      </c>
      <c r="B79" s="4" t="str">
        <f aca="false">IF(A79="","",TEXT(A79,"MM-YYYY"))</f>
        <v>07-2026</v>
      </c>
      <c r="C79" s="5" t="n">
        <v>3517638802</v>
      </c>
      <c r="D79" s="4" t="s">
        <v>197</v>
      </c>
      <c r="E79" s="6" t="s">
        <v>19</v>
      </c>
      <c r="F79" s="6" t="s">
        <v>147</v>
      </c>
      <c r="G79" s="5"/>
      <c r="H79" s="6" t="s">
        <v>35</v>
      </c>
      <c r="I79" s="6"/>
      <c r="J79" s="3"/>
      <c r="K79" s="7" t="n">
        <f aca="true">IF(A79="","",TODAY()-A79)</f>
        <v>7</v>
      </c>
      <c r="L79" s="4"/>
      <c r="M79" s="5"/>
      <c r="N79" s="5"/>
      <c r="O79" s="5"/>
      <c r="P79" s="8" t="s">
        <v>198</v>
      </c>
    </row>
    <row r="80" customFormat="false" ht="18" hidden="false" customHeight="true" outlineLevel="0" collapsed="false">
      <c r="A80" s="9" t="n">
        <v>46234</v>
      </c>
      <c r="B80" s="4" t="str">
        <f aca="false">IF(A80="","",TEXT(A80,"MM-YYYY"))</f>
        <v>07-2026</v>
      </c>
      <c r="C80" s="10" t="n">
        <v>3572677801</v>
      </c>
      <c r="D80" s="11" t="s">
        <v>199</v>
      </c>
      <c r="E80" s="12" t="s">
        <v>19</v>
      </c>
      <c r="F80" s="12" t="s">
        <v>147</v>
      </c>
      <c r="G80" s="10"/>
      <c r="H80" s="6" t="s">
        <v>35</v>
      </c>
      <c r="I80" s="12"/>
      <c r="J80" s="9"/>
      <c r="K80" s="13" t="n">
        <f aca="true">IF(A80="","",TODAY()-A80)</f>
        <v>6</v>
      </c>
      <c r="L80" s="11"/>
      <c r="M80" s="10"/>
      <c r="N80" s="10"/>
      <c r="O80" s="10"/>
      <c r="P80" s="14" t="s">
        <v>192</v>
      </c>
    </row>
    <row r="81" customFormat="false" ht="18" hidden="false" customHeight="true" outlineLevel="0" collapsed="false">
      <c r="A81" s="3" t="n">
        <v>46234</v>
      </c>
      <c r="B81" s="4" t="str">
        <f aca="false">IF(A81="","",TEXT(A81,"MM-YYYY"))</f>
        <v>07-2026</v>
      </c>
      <c r="C81" s="5" t="n">
        <v>3572684885</v>
      </c>
      <c r="D81" s="4" t="s">
        <v>200</v>
      </c>
      <c r="E81" s="6" t="s">
        <v>19</v>
      </c>
      <c r="F81" s="6" t="s">
        <v>147</v>
      </c>
      <c r="G81" s="5"/>
      <c r="H81" s="6" t="s">
        <v>35</v>
      </c>
      <c r="I81" s="6"/>
      <c r="J81" s="3"/>
      <c r="K81" s="7" t="n">
        <f aca="true">IF(A81="","",TODAY()-A81)</f>
        <v>6</v>
      </c>
      <c r="L81" s="4"/>
      <c r="M81" s="5"/>
      <c r="N81" s="5"/>
      <c r="O81" s="5"/>
      <c r="P81" s="8" t="s">
        <v>192</v>
      </c>
    </row>
    <row r="82" customFormat="false" ht="18" hidden="false" customHeight="true" outlineLevel="0" collapsed="false">
      <c r="A82" s="9" t="n">
        <v>46226</v>
      </c>
      <c r="B82" s="4" t="str">
        <f aca="false">IF(A82="","",TEXT(A82,"MM-YYYY"))</f>
        <v>07-2026</v>
      </c>
      <c r="C82" s="10" t="s">
        <v>201</v>
      </c>
      <c r="D82" s="11" t="s">
        <v>202</v>
      </c>
      <c r="E82" s="12" t="s">
        <v>19</v>
      </c>
      <c r="F82" s="12" t="s">
        <v>203</v>
      </c>
      <c r="G82" s="10"/>
      <c r="H82" s="6" t="s">
        <v>35</v>
      </c>
      <c r="I82" s="12"/>
      <c r="J82" s="9"/>
      <c r="K82" s="13" t="n">
        <f aca="true">IF(A82="","",TODAY()-A82)</f>
        <v>14</v>
      </c>
      <c r="L82" s="11"/>
      <c r="M82" s="10"/>
      <c r="N82" s="10"/>
      <c r="O82" s="10"/>
      <c r="P82" s="14" t="s">
        <v>204</v>
      </c>
    </row>
    <row r="83" customFormat="false" ht="18" hidden="false" customHeight="true" outlineLevel="0" collapsed="false">
      <c r="A83" s="3" t="n">
        <v>46226</v>
      </c>
      <c r="B83" s="4" t="str">
        <f aca="false">IF(A83="","",TEXT(A83,"MM-YYYY"))</f>
        <v>07-2026</v>
      </c>
      <c r="C83" s="5" t="s">
        <v>205</v>
      </c>
      <c r="D83" s="4" t="s">
        <v>206</v>
      </c>
      <c r="E83" s="6" t="s">
        <v>19</v>
      </c>
      <c r="F83" s="6" t="s">
        <v>203</v>
      </c>
      <c r="G83" s="5"/>
      <c r="H83" s="6" t="s">
        <v>26</v>
      </c>
      <c r="I83" s="6"/>
      <c r="J83" s="3"/>
      <c r="K83" s="7" t="n">
        <f aca="true">IF(A83="","",TODAY()-A83)</f>
        <v>14</v>
      </c>
      <c r="L83" s="4"/>
      <c r="M83" s="5"/>
      <c r="N83" s="5"/>
      <c r="O83" s="5"/>
      <c r="P83" s="8" t="s">
        <v>207</v>
      </c>
    </row>
    <row r="84" customFormat="false" ht="18" hidden="false" customHeight="true" outlineLevel="0" collapsed="false">
      <c r="A84" s="9" t="n">
        <v>46226</v>
      </c>
      <c r="B84" s="4" t="str">
        <f aca="false">IF(A84="","",TEXT(A84,"MM-YYYY"))</f>
        <v>07-2026</v>
      </c>
      <c r="C84" s="10" t="s">
        <v>208</v>
      </c>
      <c r="D84" s="11" t="s">
        <v>209</v>
      </c>
      <c r="E84" s="12" t="s">
        <v>19</v>
      </c>
      <c r="F84" s="12" t="s">
        <v>203</v>
      </c>
      <c r="G84" s="10"/>
      <c r="H84" s="6" t="s">
        <v>26</v>
      </c>
      <c r="I84" s="12"/>
      <c r="J84" s="9"/>
      <c r="K84" s="13" t="n">
        <f aca="true">IF(A84="","",TODAY()-A84)</f>
        <v>14</v>
      </c>
      <c r="L84" s="11"/>
      <c r="M84" s="10"/>
      <c r="N84" s="10"/>
      <c r="O84" s="10"/>
      <c r="P84" s="14" t="s">
        <v>210</v>
      </c>
    </row>
    <row r="85" customFormat="false" ht="18" hidden="false" customHeight="true" outlineLevel="0" collapsed="false">
      <c r="A85" s="3" t="n">
        <v>46226</v>
      </c>
      <c r="B85" s="4" t="str">
        <f aca="false">IF(A85="","",TEXT(A85,"MM-YYYY"))</f>
        <v>07-2026</v>
      </c>
      <c r="C85" s="5" t="s">
        <v>211</v>
      </c>
      <c r="D85" s="4" t="s">
        <v>212</v>
      </c>
      <c r="E85" s="6" t="s">
        <v>19</v>
      </c>
      <c r="F85" s="6" t="s">
        <v>203</v>
      </c>
      <c r="G85" s="5"/>
      <c r="H85" s="6" t="s">
        <v>26</v>
      </c>
      <c r="I85" s="6"/>
      <c r="J85" s="3"/>
      <c r="K85" s="7" t="n">
        <f aca="true">IF(A85="","",TODAY()-A85)</f>
        <v>14</v>
      </c>
      <c r="L85" s="4"/>
      <c r="M85" s="5"/>
      <c r="N85" s="5"/>
      <c r="O85" s="5"/>
      <c r="P85" s="8" t="s">
        <v>213</v>
      </c>
    </row>
    <row r="86" customFormat="false" ht="18" hidden="false" customHeight="true" outlineLevel="0" collapsed="false">
      <c r="A86" s="9" t="n">
        <v>46226</v>
      </c>
      <c r="B86" s="4" t="str">
        <f aca="false">IF(A86="","",TEXT(A86,"MM-YYYY"))</f>
        <v>07-2026</v>
      </c>
      <c r="C86" s="10" t="s">
        <v>214</v>
      </c>
      <c r="D86" s="11" t="s">
        <v>215</v>
      </c>
      <c r="E86" s="12" t="s">
        <v>19</v>
      </c>
      <c r="F86" s="12" t="s">
        <v>203</v>
      </c>
      <c r="G86" s="10"/>
      <c r="H86" s="6" t="s">
        <v>26</v>
      </c>
      <c r="I86" s="12"/>
      <c r="J86" s="9"/>
      <c r="K86" s="13" t="n">
        <f aca="true">IF(A86="","",TODAY()-A86)</f>
        <v>14</v>
      </c>
      <c r="L86" s="11"/>
      <c r="M86" s="10"/>
      <c r="N86" s="10"/>
      <c r="O86" s="10"/>
      <c r="P86" s="14" t="s">
        <v>216</v>
      </c>
    </row>
    <row r="87" customFormat="false" ht="18" hidden="false" customHeight="true" outlineLevel="0" collapsed="false">
      <c r="A87" s="3" t="n">
        <v>46226</v>
      </c>
      <c r="B87" s="4" t="str">
        <f aca="false">IF(A87="","",TEXT(A87,"MM-YYYY"))</f>
        <v>07-2026</v>
      </c>
      <c r="C87" s="5" t="s">
        <v>217</v>
      </c>
      <c r="D87" s="4" t="s">
        <v>218</v>
      </c>
      <c r="E87" s="6" t="s">
        <v>19</v>
      </c>
      <c r="F87" s="6" t="s">
        <v>203</v>
      </c>
      <c r="G87" s="5"/>
      <c r="H87" s="6" t="s">
        <v>26</v>
      </c>
      <c r="I87" s="6"/>
      <c r="J87" s="3"/>
      <c r="K87" s="7" t="n">
        <f aca="true">IF(A87="","",TODAY()-A87)</f>
        <v>14</v>
      </c>
      <c r="L87" s="4"/>
      <c r="M87" s="5"/>
      <c r="N87" s="5"/>
      <c r="O87" s="5"/>
      <c r="P87" s="8" t="s">
        <v>219</v>
      </c>
    </row>
    <row r="88" customFormat="false" ht="18" hidden="false" customHeight="true" outlineLevel="0" collapsed="false">
      <c r="A88" s="9" t="n">
        <v>46230</v>
      </c>
      <c r="B88" s="4" t="str">
        <f aca="false">IF(A88="","",TEXT(A88,"MM-YYYY"))</f>
        <v>07-2026</v>
      </c>
      <c r="C88" s="10" t="s">
        <v>220</v>
      </c>
      <c r="D88" s="11" t="s">
        <v>221</v>
      </c>
      <c r="E88" s="12" t="s">
        <v>19</v>
      </c>
      <c r="F88" s="12" t="s">
        <v>203</v>
      </c>
      <c r="G88" s="10"/>
      <c r="H88" s="6" t="s">
        <v>22</v>
      </c>
      <c r="I88" s="12"/>
      <c r="J88" s="9"/>
      <c r="K88" s="13" t="n">
        <f aca="true">IF(A88="","",TODAY()-A88)</f>
        <v>10</v>
      </c>
      <c r="L88" s="11"/>
      <c r="M88" s="10"/>
      <c r="N88" s="10"/>
      <c r="O88" s="10"/>
      <c r="P88" s="14" t="s">
        <v>222</v>
      </c>
    </row>
    <row r="89" customFormat="false" ht="18" hidden="false" customHeight="true" outlineLevel="0" collapsed="false">
      <c r="A89" s="3" t="n">
        <v>46230</v>
      </c>
      <c r="B89" s="4" t="str">
        <f aca="false">IF(A89="","",TEXT(A89,"MM-YYYY"))</f>
        <v>07-2026</v>
      </c>
      <c r="C89" s="5" t="s">
        <v>223</v>
      </c>
      <c r="D89" s="4" t="s">
        <v>224</v>
      </c>
      <c r="E89" s="6" t="s">
        <v>19</v>
      </c>
      <c r="F89" s="6" t="s">
        <v>203</v>
      </c>
      <c r="G89" s="5"/>
      <c r="H89" s="6" t="s">
        <v>22</v>
      </c>
      <c r="I89" s="6"/>
      <c r="J89" s="3"/>
      <c r="K89" s="7" t="n">
        <f aca="true">IF(A89="","",TODAY()-A89)</f>
        <v>10</v>
      </c>
      <c r="L89" s="4"/>
      <c r="M89" s="5"/>
      <c r="N89" s="5"/>
      <c r="O89" s="5"/>
      <c r="P89" s="8" t="s">
        <v>225</v>
      </c>
    </row>
    <row r="90" customFormat="false" ht="18" hidden="false" customHeight="true" outlineLevel="0" collapsed="false">
      <c r="A90" s="9" t="n">
        <v>46230</v>
      </c>
      <c r="B90" s="4" t="str">
        <f aca="false">IF(A90="","",TEXT(A90,"MM-YYYY"))</f>
        <v>07-2026</v>
      </c>
      <c r="C90" s="10" t="s">
        <v>226</v>
      </c>
      <c r="D90" s="11" t="s">
        <v>227</v>
      </c>
      <c r="E90" s="12" t="s">
        <v>19</v>
      </c>
      <c r="F90" s="12" t="s">
        <v>203</v>
      </c>
      <c r="G90" s="10"/>
      <c r="H90" s="6" t="s">
        <v>22</v>
      </c>
      <c r="I90" s="12"/>
      <c r="J90" s="9"/>
      <c r="K90" s="13" t="n">
        <f aca="true">IF(A90="","",TODAY()-A90)</f>
        <v>10</v>
      </c>
      <c r="L90" s="11"/>
      <c r="M90" s="10"/>
      <c r="N90" s="10"/>
      <c r="O90" s="10"/>
      <c r="P90" s="14" t="s">
        <v>228</v>
      </c>
    </row>
    <row r="91" customFormat="false" ht="18" hidden="false" customHeight="true" outlineLevel="0" collapsed="false">
      <c r="A91" s="3" t="n">
        <v>46230</v>
      </c>
      <c r="B91" s="4" t="str">
        <f aca="false">IF(A91="","",TEXT(A91,"MM-YYYY"))</f>
        <v>07-2026</v>
      </c>
      <c r="C91" s="5" t="s">
        <v>229</v>
      </c>
      <c r="D91" s="4" t="s">
        <v>230</v>
      </c>
      <c r="E91" s="6" t="s">
        <v>19</v>
      </c>
      <c r="F91" s="6" t="s">
        <v>203</v>
      </c>
      <c r="G91" s="5"/>
      <c r="H91" s="6" t="s">
        <v>26</v>
      </c>
      <c r="I91" s="6"/>
      <c r="J91" s="3"/>
      <c r="K91" s="7" t="n">
        <f aca="true">IF(A91="","",TODAY()-A91)</f>
        <v>10</v>
      </c>
      <c r="L91" s="4"/>
      <c r="M91" s="5"/>
      <c r="N91" s="5"/>
      <c r="O91" s="5"/>
      <c r="P91" s="8" t="s">
        <v>231</v>
      </c>
    </row>
    <row r="92" customFormat="false" ht="18" hidden="false" customHeight="true" outlineLevel="0" collapsed="false">
      <c r="A92" s="9"/>
      <c r="B92" s="4" t="str">
        <f aca="false">IF(A92="","",TEXT(A92,"MM-YYYY"))</f>
        <v/>
      </c>
      <c r="C92" s="10" t="s">
        <v>232</v>
      </c>
      <c r="D92" s="11" t="s">
        <v>233</v>
      </c>
      <c r="E92" s="12" t="s">
        <v>19</v>
      </c>
      <c r="F92" s="12" t="s">
        <v>203</v>
      </c>
      <c r="G92" s="10"/>
      <c r="H92" s="6" t="s">
        <v>26</v>
      </c>
      <c r="I92" s="12"/>
      <c r="J92" s="9"/>
      <c r="K92" s="13" t="str">
        <f aca="true">IF(A92="","",TODAY()-A92)</f>
        <v/>
      </c>
      <c r="L92" s="11"/>
      <c r="M92" s="10"/>
      <c r="N92" s="10"/>
      <c r="O92" s="10"/>
      <c r="P92" s="14" t="s">
        <v>234</v>
      </c>
    </row>
    <row r="93" customFormat="false" ht="18" hidden="false" customHeight="true" outlineLevel="0" collapsed="false">
      <c r="A93" s="3" t="n">
        <v>46230</v>
      </c>
      <c r="B93" s="4" t="str">
        <f aca="false">IF(A93="","",TEXT(A93,"MM-YYYY"))</f>
        <v>07-2026</v>
      </c>
      <c r="C93" s="5" t="s">
        <v>235</v>
      </c>
      <c r="D93" s="4" t="s">
        <v>236</v>
      </c>
      <c r="E93" s="6" t="s">
        <v>19</v>
      </c>
      <c r="F93" s="6" t="s">
        <v>203</v>
      </c>
      <c r="G93" s="5"/>
      <c r="H93" s="6" t="s">
        <v>22</v>
      </c>
      <c r="I93" s="6"/>
      <c r="J93" s="3"/>
      <c r="K93" s="7" t="n">
        <f aca="true">IF(A93="","",TODAY()-A93)</f>
        <v>10</v>
      </c>
      <c r="L93" s="4"/>
      <c r="M93" s="5"/>
      <c r="N93" s="5"/>
      <c r="O93" s="5"/>
      <c r="P93" s="8" t="s">
        <v>237</v>
      </c>
    </row>
    <row r="94" customFormat="false" ht="18" hidden="false" customHeight="true" outlineLevel="0" collapsed="false">
      <c r="A94" s="9" t="n">
        <v>46230</v>
      </c>
      <c r="B94" s="4" t="str">
        <f aca="false">IF(A94="","",TEXT(A94,"MM-YYYY"))</f>
        <v>07-2026</v>
      </c>
      <c r="C94" s="10" t="s">
        <v>238</v>
      </c>
      <c r="D94" s="11" t="s">
        <v>239</v>
      </c>
      <c r="E94" s="12" t="s">
        <v>19</v>
      </c>
      <c r="F94" s="12" t="s">
        <v>203</v>
      </c>
      <c r="G94" s="10"/>
      <c r="H94" s="6" t="s">
        <v>22</v>
      </c>
      <c r="I94" s="12"/>
      <c r="J94" s="9"/>
      <c r="K94" s="13" t="n">
        <f aca="true">IF(A94="","",TODAY()-A94)</f>
        <v>10</v>
      </c>
      <c r="L94" s="11"/>
      <c r="M94" s="10"/>
      <c r="N94" s="10"/>
      <c r="O94" s="10"/>
      <c r="P94" s="14" t="s">
        <v>237</v>
      </c>
    </row>
    <row r="95" customFormat="false" ht="18" hidden="false" customHeight="true" outlineLevel="0" collapsed="false">
      <c r="A95" s="3" t="n">
        <v>46231</v>
      </c>
      <c r="B95" s="4" t="str">
        <f aca="false">IF(A95="","",TEXT(A95,"MM-YYYY"))</f>
        <v>07-2026</v>
      </c>
      <c r="C95" s="5" t="s">
        <v>240</v>
      </c>
      <c r="D95" s="4" t="s">
        <v>241</v>
      </c>
      <c r="E95" s="6" t="s">
        <v>19</v>
      </c>
      <c r="F95" s="6" t="s">
        <v>203</v>
      </c>
      <c r="G95" s="5"/>
      <c r="H95" s="6" t="s">
        <v>26</v>
      </c>
      <c r="I95" s="6"/>
      <c r="J95" s="3"/>
      <c r="K95" s="7" t="n">
        <f aca="true">IF(A95="","",TODAY()-A95)</f>
        <v>9</v>
      </c>
      <c r="L95" s="4"/>
      <c r="M95" s="5"/>
      <c r="N95" s="5"/>
      <c r="O95" s="5"/>
      <c r="P95" s="8" t="s">
        <v>242</v>
      </c>
    </row>
    <row r="96" customFormat="false" ht="18" hidden="false" customHeight="true" outlineLevel="0" collapsed="false">
      <c r="A96" s="9" t="n">
        <v>46231</v>
      </c>
      <c r="B96" s="4" t="str">
        <f aca="false">IF(A96="","",TEXT(A96,"MM-YYYY"))</f>
        <v>07-2026</v>
      </c>
      <c r="C96" s="10" t="s">
        <v>243</v>
      </c>
      <c r="D96" s="11" t="s">
        <v>244</v>
      </c>
      <c r="E96" s="12" t="s">
        <v>19</v>
      </c>
      <c r="F96" s="12" t="s">
        <v>203</v>
      </c>
      <c r="G96" s="10"/>
      <c r="H96" s="6" t="s">
        <v>26</v>
      </c>
      <c r="I96" s="12"/>
      <c r="J96" s="9"/>
      <c r="K96" s="13" t="n">
        <f aca="true">IF(A96="","",TODAY()-A96)</f>
        <v>9</v>
      </c>
      <c r="L96" s="11"/>
      <c r="M96" s="10"/>
      <c r="N96" s="10"/>
      <c r="O96" s="10"/>
      <c r="P96" s="14" t="s">
        <v>245</v>
      </c>
    </row>
    <row r="97" customFormat="false" ht="18" hidden="false" customHeight="true" outlineLevel="0" collapsed="false">
      <c r="A97" s="3" t="n">
        <v>46231</v>
      </c>
      <c r="B97" s="4" t="str">
        <f aca="false">IF(A97="","",TEXT(A97,"MM-YYYY"))</f>
        <v>07-2026</v>
      </c>
      <c r="C97" s="5" t="s">
        <v>246</v>
      </c>
      <c r="D97" s="4" t="s">
        <v>247</v>
      </c>
      <c r="E97" s="6" t="s">
        <v>19</v>
      </c>
      <c r="F97" s="6" t="s">
        <v>203</v>
      </c>
      <c r="G97" s="5"/>
      <c r="H97" s="6" t="s">
        <v>35</v>
      </c>
      <c r="I97" s="6"/>
      <c r="J97" s="3"/>
      <c r="K97" s="7" t="n">
        <f aca="true">IF(A97="","",TODAY()-A97)</f>
        <v>9</v>
      </c>
      <c r="L97" s="4"/>
      <c r="M97" s="5"/>
      <c r="N97" s="5"/>
      <c r="O97" s="5"/>
      <c r="P97" s="8" t="s">
        <v>248</v>
      </c>
    </row>
    <row r="98" customFormat="false" ht="18" hidden="false" customHeight="true" outlineLevel="0" collapsed="false">
      <c r="A98" s="9" t="n">
        <v>46231</v>
      </c>
      <c r="B98" s="4" t="str">
        <f aca="false">IF(A98="","",TEXT(A98,"MM-YYYY"))</f>
        <v>07-2026</v>
      </c>
      <c r="C98" s="10" t="s">
        <v>249</v>
      </c>
      <c r="D98" s="11" t="s">
        <v>250</v>
      </c>
      <c r="E98" s="12" t="s">
        <v>19</v>
      </c>
      <c r="F98" s="12" t="s">
        <v>203</v>
      </c>
      <c r="G98" s="10"/>
      <c r="H98" s="6" t="s">
        <v>26</v>
      </c>
      <c r="I98" s="12"/>
      <c r="J98" s="9"/>
      <c r="K98" s="13" t="n">
        <f aca="true">IF(A98="","",TODAY()-A98)</f>
        <v>9</v>
      </c>
      <c r="L98" s="11"/>
      <c r="M98" s="10"/>
      <c r="N98" s="10"/>
      <c r="O98" s="10"/>
      <c r="P98" s="14" t="s">
        <v>251</v>
      </c>
    </row>
    <row r="99" customFormat="false" ht="18" hidden="false" customHeight="true" outlineLevel="0" collapsed="false">
      <c r="A99" s="3" t="n">
        <v>46231</v>
      </c>
      <c r="B99" s="4" t="str">
        <f aca="false">IF(A99="","",TEXT(A99,"MM-YYYY"))</f>
        <v>07-2026</v>
      </c>
      <c r="C99" s="5" t="s">
        <v>252</v>
      </c>
      <c r="D99" s="4" t="s">
        <v>253</v>
      </c>
      <c r="E99" s="6" t="s">
        <v>19</v>
      </c>
      <c r="F99" s="6" t="s">
        <v>203</v>
      </c>
      <c r="G99" s="5"/>
      <c r="H99" s="6" t="s">
        <v>26</v>
      </c>
      <c r="I99" s="6"/>
      <c r="J99" s="3"/>
      <c r="K99" s="7" t="n">
        <f aca="true">IF(A99="","",TODAY()-A99)</f>
        <v>9</v>
      </c>
      <c r="L99" s="4"/>
      <c r="M99" s="5"/>
      <c r="N99" s="5"/>
      <c r="O99" s="5"/>
      <c r="P99" s="8" t="s">
        <v>254</v>
      </c>
    </row>
    <row r="100" customFormat="false" ht="18" hidden="false" customHeight="true" outlineLevel="0" collapsed="false">
      <c r="A100" s="9" t="n">
        <v>46231</v>
      </c>
      <c r="B100" s="4" t="str">
        <f aca="false">IF(A100="","",TEXT(A100,"MM-YYYY"))</f>
        <v>07-2026</v>
      </c>
      <c r="C100" s="10" t="s">
        <v>255</v>
      </c>
      <c r="D100" s="11" t="s">
        <v>256</v>
      </c>
      <c r="E100" s="12" t="s">
        <v>19</v>
      </c>
      <c r="F100" s="12" t="s">
        <v>203</v>
      </c>
      <c r="G100" s="10"/>
      <c r="H100" s="6" t="s">
        <v>26</v>
      </c>
      <c r="I100" s="12"/>
      <c r="J100" s="9"/>
      <c r="K100" s="13" t="n">
        <f aca="true">IF(A100="","",TODAY()-A100)</f>
        <v>9</v>
      </c>
      <c r="L100" s="11"/>
      <c r="M100" s="10"/>
      <c r="N100" s="10"/>
      <c r="O100" s="10"/>
      <c r="P100" s="14" t="s">
        <v>257</v>
      </c>
    </row>
    <row r="101" customFormat="false" ht="18" hidden="false" customHeight="true" outlineLevel="0" collapsed="false">
      <c r="A101" s="3" t="n">
        <v>46231</v>
      </c>
      <c r="B101" s="4" t="str">
        <f aca="false">IF(A101="","",TEXT(A101,"MM-YYYY"))</f>
        <v>07-2026</v>
      </c>
      <c r="C101" s="5" t="s">
        <v>258</v>
      </c>
      <c r="D101" s="4" t="s">
        <v>259</v>
      </c>
      <c r="E101" s="6" t="s">
        <v>19</v>
      </c>
      <c r="F101" s="6" t="s">
        <v>203</v>
      </c>
      <c r="G101" s="5"/>
      <c r="H101" s="6" t="s">
        <v>22</v>
      </c>
      <c r="I101" s="6"/>
      <c r="J101" s="3"/>
      <c r="K101" s="7" t="n">
        <f aca="true">IF(A101="","",TODAY()-A101)</f>
        <v>9</v>
      </c>
      <c r="L101" s="4"/>
      <c r="M101" s="5"/>
      <c r="N101" s="5"/>
      <c r="O101" s="5"/>
      <c r="P101" s="8" t="s">
        <v>260</v>
      </c>
    </row>
    <row r="102" customFormat="false" ht="18" hidden="false" customHeight="true" outlineLevel="0" collapsed="false">
      <c r="A102" s="9" t="n">
        <v>46231</v>
      </c>
      <c r="B102" s="4" t="str">
        <f aca="false">IF(A102="","",TEXT(A102,"MM-YYYY"))</f>
        <v>07-2026</v>
      </c>
      <c r="C102" s="10" t="s">
        <v>261</v>
      </c>
      <c r="D102" s="11" t="s">
        <v>262</v>
      </c>
      <c r="E102" s="12" t="s">
        <v>19</v>
      </c>
      <c r="F102" s="12" t="s">
        <v>203</v>
      </c>
      <c r="G102" s="10"/>
      <c r="H102" s="6" t="s">
        <v>26</v>
      </c>
      <c r="I102" s="12"/>
      <c r="J102" s="9"/>
      <c r="K102" s="13" t="n">
        <f aca="true">IF(A102="","",TODAY()-A102)</f>
        <v>9</v>
      </c>
      <c r="L102" s="11"/>
      <c r="M102" s="10"/>
      <c r="N102" s="10"/>
      <c r="O102" s="10"/>
      <c r="P102" s="14" t="s">
        <v>263</v>
      </c>
    </row>
    <row r="103" customFormat="false" ht="18" hidden="false" customHeight="true" outlineLevel="0" collapsed="false">
      <c r="A103" s="3" t="n">
        <v>46231</v>
      </c>
      <c r="B103" s="4" t="str">
        <f aca="false">IF(A103="","",TEXT(A103,"MM-YYYY"))</f>
        <v>07-2026</v>
      </c>
      <c r="C103" s="5" t="s">
        <v>264</v>
      </c>
      <c r="D103" s="4" t="s">
        <v>265</v>
      </c>
      <c r="E103" s="6" t="s">
        <v>19</v>
      </c>
      <c r="F103" s="6" t="s">
        <v>203</v>
      </c>
      <c r="G103" s="5"/>
      <c r="H103" s="6" t="s">
        <v>35</v>
      </c>
      <c r="I103" s="6"/>
      <c r="J103" s="3"/>
      <c r="K103" s="7" t="n">
        <f aca="true">IF(A103="","",TODAY()-A103)</f>
        <v>9</v>
      </c>
      <c r="L103" s="4"/>
      <c r="M103" s="5"/>
      <c r="N103" s="5"/>
      <c r="O103" s="5"/>
      <c r="P103" s="8" t="s">
        <v>266</v>
      </c>
    </row>
    <row r="104" customFormat="false" ht="18" hidden="false" customHeight="true" outlineLevel="0" collapsed="false">
      <c r="A104" s="9" t="n">
        <v>46231</v>
      </c>
      <c r="B104" s="4" t="str">
        <f aca="false">IF(A104="","",TEXT(A104,"MM-YYYY"))</f>
        <v>07-2026</v>
      </c>
      <c r="C104" s="10" t="s">
        <v>267</v>
      </c>
      <c r="D104" s="11" t="s">
        <v>268</v>
      </c>
      <c r="E104" s="12" t="s">
        <v>19</v>
      </c>
      <c r="F104" s="12" t="s">
        <v>203</v>
      </c>
      <c r="G104" s="10"/>
      <c r="H104" s="6" t="s">
        <v>35</v>
      </c>
      <c r="I104" s="12"/>
      <c r="J104" s="9"/>
      <c r="K104" s="13" t="n">
        <f aca="true">IF(A104="","",TODAY()-A104)</f>
        <v>9</v>
      </c>
      <c r="L104" s="11"/>
      <c r="M104" s="10"/>
      <c r="N104" s="10"/>
      <c r="O104" s="10"/>
      <c r="P104" s="14" t="s">
        <v>269</v>
      </c>
    </row>
    <row r="105" customFormat="false" ht="18" hidden="false" customHeight="true" outlineLevel="0" collapsed="false">
      <c r="A105" s="3" t="n">
        <v>46231</v>
      </c>
      <c r="B105" s="4" t="str">
        <f aca="false">IF(A105="","",TEXT(A105,"MM-YYYY"))</f>
        <v>07-2026</v>
      </c>
      <c r="C105" s="5" t="s">
        <v>270</v>
      </c>
      <c r="D105" s="4" t="s">
        <v>271</v>
      </c>
      <c r="E105" s="6" t="s">
        <v>19</v>
      </c>
      <c r="F105" s="6" t="s">
        <v>203</v>
      </c>
      <c r="G105" s="5"/>
      <c r="H105" s="6" t="s">
        <v>132</v>
      </c>
      <c r="I105" s="6"/>
      <c r="J105" s="3"/>
      <c r="K105" s="7" t="n">
        <f aca="true">IF(A105="","",TODAY()-A105)</f>
        <v>9</v>
      </c>
      <c r="L105" s="4"/>
      <c r="M105" s="5"/>
      <c r="N105" s="5"/>
      <c r="O105" s="5"/>
      <c r="P105" s="8" t="s">
        <v>272</v>
      </c>
    </row>
    <row r="106" customFormat="false" ht="18" hidden="false" customHeight="true" outlineLevel="0" collapsed="false">
      <c r="A106" s="9" t="n">
        <v>46231</v>
      </c>
      <c r="B106" s="4" t="str">
        <f aca="false">IF(A106="","",TEXT(A106,"MM-YYYY"))</f>
        <v>07-2026</v>
      </c>
      <c r="C106" s="10" t="s">
        <v>273</v>
      </c>
      <c r="D106" s="11" t="s">
        <v>274</v>
      </c>
      <c r="E106" s="12" t="s">
        <v>19</v>
      </c>
      <c r="F106" s="12" t="s">
        <v>203</v>
      </c>
      <c r="G106" s="10"/>
      <c r="H106" s="6" t="s">
        <v>26</v>
      </c>
      <c r="I106" s="12"/>
      <c r="J106" s="9"/>
      <c r="K106" s="13" t="n">
        <f aca="true">IF(A106="","",TODAY()-A106)</f>
        <v>9</v>
      </c>
      <c r="L106" s="11"/>
      <c r="M106" s="10"/>
      <c r="N106" s="10"/>
      <c r="O106" s="10"/>
      <c r="P106" s="14" t="s">
        <v>275</v>
      </c>
    </row>
    <row r="107" customFormat="false" ht="18" hidden="false" customHeight="true" outlineLevel="0" collapsed="false">
      <c r="A107" s="3" t="n">
        <v>46233</v>
      </c>
      <c r="B107" s="4" t="str">
        <f aca="false">IF(A107="","",TEXT(A107,"MM-YYYY"))</f>
        <v>07-2026</v>
      </c>
      <c r="C107" s="5" t="s">
        <v>276</v>
      </c>
      <c r="D107" s="4" t="s">
        <v>277</v>
      </c>
      <c r="E107" s="6" t="s">
        <v>19</v>
      </c>
      <c r="F107" s="6" t="s">
        <v>203</v>
      </c>
      <c r="G107" s="5"/>
      <c r="H107" s="6" t="s">
        <v>35</v>
      </c>
      <c r="I107" s="6"/>
      <c r="J107" s="3"/>
      <c r="K107" s="7" t="n">
        <f aca="true">IF(A107="","",TODAY()-A107)</f>
        <v>7</v>
      </c>
      <c r="L107" s="4"/>
      <c r="M107" s="5"/>
      <c r="N107" s="5"/>
      <c r="O107" s="5"/>
      <c r="P107" s="8" t="s">
        <v>278</v>
      </c>
    </row>
    <row r="108" customFormat="false" ht="18" hidden="false" customHeight="true" outlineLevel="0" collapsed="false">
      <c r="A108" s="9" t="n">
        <v>46234</v>
      </c>
      <c r="B108" s="4" t="str">
        <f aca="false">IF(A108="","",TEXT(A108,"MM-YYYY"))</f>
        <v>07-2026</v>
      </c>
      <c r="C108" s="10" t="s">
        <v>279</v>
      </c>
      <c r="D108" s="11" t="s">
        <v>280</v>
      </c>
      <c r="E108" s="12" t="s">
        <v>19</v>
      </c>
      <c r="F108" s="12" t="s">
        <v>203</v>
      </c>
      <c r="G108" s="10"/>
      <c r="H108" s="6" t="s">
        <v>26</v>
      </c>
      <c r="I108" s="12"/>
      <c r="J108" s="9"/>
      <c r="K108" s="13" t="n">
        <f aca="true">IF(A108="","",TODAY()-A108)</f>
        <v>6</v>
      </c>
      <c r="L108" s="11"/>
      <c r="M108" s="10"/>
      <c r="N108" s="10"/>
      <c r="O108" s="10"/>
      <c r="P108" s="14" t="s">
        <v>281</v>
      </c>
    </row>
    <row r="109" customFormat="false" ht="18" hidden="false" customHeight="true" outlineLevel="0" collapsed="false">
      <c r="A109" s="3" t="n">
        <v>46234</v>
      </c>
      <c r="B109" s="4" t="str">
        <f aca="false">IF(A109="","",TEXT(A109,"MM-YYYY"))</f>
        <v>07-2026</v>
      </c>
      <c r="C109" s="5" t="s">
        <v>282</v>
      </c>
      <c r="D109" s="4" t="s">
        <v>283</v>
      </c>
      <c r="E109" s="6" t="s">
        <v>19</v>
      </c>
      <c r="F109" s="6" t="s">
        <v>203</v>
      </c>
      <c r="G109" s="5"/>
      <c r="H109" s="6" t="s">
        <v>26</v>
      </c>
      <c r="I109" s="6"/>
      <c r="J109" s="3"/>
      <c r="K109" s="7" t="n">
        <f aca="true">IF(A109="","",TODAY()-A109)</f>
        <v>6</v>
      </c>
      <c r="L109" s="4"/>
      <c r="M109" s="5"/>
      <c r="N109" s="5"/>
      <c r="O109" s="5"/>
      <c r="P109" s="8" t="s">
        <v>284</v>
      </c>
    </row>
    <row r="110" customFormat="false" ht="18" hidden="false" customHeight="true" outlineLevel="0" collapsed="false">
      <c r="A110" s="9" t="n">
        <v>46234</v>
      </c>
      <c r="B110" s="4" t="str">
        <f aca="false">IF(A110="","",TEXT(A110,"MM-YYYY"))</f>
        <v>07-2026</v>
      </c>
      <c r="C110" s="10" t="s">
        <v>285</v>
      </c>
      <c r="D110" s="11" t="s">
        <v>286</v>
      </c>
      <c r="E110" s="12" t="s">
        <v>19</v>
      </c>
      <c r="F110" s="12" t="s">
        <v>203</v>
      </c>
      <c r="G110" s="10"/>
      <c r="H110" s="6" t="s">
        <v>35</v>
      </c>
      <c r="I110" s="12"/>
      <c r="J110" s="9"/>
      <c r="K110" s="13" t="n">
        <f aca="true">IF(A110="","",TODAY()-A110)</f>
        <v>6</v>
      </c>
      <c r="L110" s="11"/>
      <c r="M110" s="10"/>
      <c r="N110" s="10"/>
      <c r="O110" s="10"/>
      <c r="P110" s="14" t="s">
        <v>287</v>
      </c>
    </row>
    <row r="111" customFormat="false" ht="18" hidden="false" customHeight="true" outlineLevel="0" collapsed="false">
      <c r="A111" s="3" t="n">
        <v>46234</v>
      </c>
      <c r="B111" s="4" t="str">
        <f aca="false">IF(A111="","",TEXT(A111,"MM-YYYY"))</f>
        <v>07-2026</v>
      </c>
      <c r="C111" s="5" t="s">
        <v>288</v>
      </c>
      <c r="D111" s="4" t="s">
        <v>289</v>
      </c>
      <c r="E111" s="6" t="s">
        <v>19</v>
      </c>
      <c r="F111" s="6" t="s">
        <v>203</v>
      </c>
      <c r="G111" s="5"/>
      <c r="H111" s="6" t="s">
        <v>26</v>
      </c>
      <c r="I111" s="6"/>
      <c r="J111" s="3"/>
      <c r="K111" s="7" t="n">
        <f aca="true">IF(A111="","",TODAY()-A111)</f>
        <v>6</v>
      </c>
      <c r="L111" s="4"/>
      <c r="M111" s="5"/>
      <c r="N111" s="5"/>
      <c r="O111" s="5"/>
      <c r="P111" s="8" t="s">
        <v>284</v>
      </c>
    </row>
    <row r="112" customFormat="false" ht="18" hidden="false" customHeight="true" outlineLevel="0" collapsed="false">
      <c r="A112" s="9" t="n">
        <v>46237</v>
      </c>
      <c r="B112" s="4" t="str">
        <f aca="false">IF(A112="","",TEXT(A112,"MM-YYYY"))</f>
        <v>08-2026</v>
      </c>
      <c r="C112" s="10" t="s">
        <v>290</v>
      </c>
      <c r="D112" s="11" t="s">
        <v>291</v>
      </c>
      <c r="E112" s="12" t="s">
        <v>19</v>
      </c>
      <c r="F112" s="12" t="s">
        <v>203</v>
      </c>
      <c r="G112" s="10"/>
      <c r="H112" s="6" t="s">
        <v>35</v>
      </c>
      <c r="I112" s="12"/>
      <c r="J112" s="9"/>
      <c r="K112" s="13" t="n">
        <f aca="true">IF(A112="","",TODAY()-A112)</f>
        <v>3</v>
      </c>
      <c r="L112" s="11"/>
      <c r="M112" s="10"/>
      <c r="N112" s="10"/>
      <c r="O112" s="10"/>
      <c r="P112" s="14" t="s">
        <v>278</v>
      </c>
    </row>
    <row r="113" customFormat="false" ht="18" hidden="false" customHeight="true" outlineLevel="0" collapsed="false">
      <c r="A113" s="3" t="n">
        <v>46237</v>
      </c>
      <c r="B113" s="4" t="str">
        <f aca="false">IF(A113="","",TEXT(A113,"MM-YYYY"))</f>
        <v>08-2026</v>
      </c>
      <c r="C113" s="5" t="s">
        <v>292</v>
      </c>
      <c r="D113" s="4" t="s">
        <v>293</v>
      </c>
      <c r="E113" s="6" t="s">
        <v>19</v>
      </c>
      <c r="F113" s="6" t="s">
        <v>203</v>
      </c>
      <c r="G113" s="5"/>
      <c r="H113" s="6" t="s">
        <v>35</v>
      </c>
      <c r="I113" s="6"/>
      <c r="J113" s="3"/>
      <c r="K113" s="7" t="n">
        <f aca="true">IF(A113="","",TODAY()-A113)</f>
        <v>3</v>
      </c>
      <c r="L113" s="4"/>
      <c r="M113" s="5"/>
      <c r="N113" s="5"/>
      <c r="O113" s="5"/>
      <c r="P113" s="8" t="s">
        <v>278</v>
      </c>
    </row>
    <row r="114" customFormat="false" ht="18" hidden="false" customHeight="true" outlineLevel="0" collapsed="false">
      <c r="A114" s="9" t="n">
        <v>46238</v>
      </c>
      <c r="B114" s="4" t="str">
        <f aca="false">IF(A114="","",TEXT(A114,"MM-YYYY"))</f>
        <v>08-2026</v>
      </c>
      <c r="C114" s="10" t="s">
        <v>294</v>
      </c>
      <c r="D114" s="11" t="s">
        <v>295</v>
      </c>
      <c r="E114" s="12" t="s">
        <v>19</v>
      </c>
      <c r="F114" s="12" t="s">
        <v>203</v>
      </c>
      <c r="G114" s="10"/>
      <c r="H114" s="6" t="s">
        <v>22</v>
      </c>
      <c r="I114" s="12"/>
      <c r="J114" s="9"/>
      <c r="K114" s="13" t="n">
        <f aca="true">IF(A114="","",TODAY()-A114)</f>
        <v>2</v>
      </c>
      <c r="L114" s="11"/>
      <c r="M114" s="10"/>
      <c r="N114" s="10"/>
      <c r="O114" s="10"/>
      <c r="P114" s="14" t="s">
        <v>296</v>
      </c>
    </row>
    <row r="115" customFormat="false" ht="18" hidden="false" customHeight="true" outlineLevel="0" collapsed="false">
      <c r="A115" s="3" t="n">
        <v>46238</v>
      </c>
      <c r="B115" s="4" t="str">
        <f aca="false">IF(A115="","",TEXT(A115,"MM-YYYY"))</f>
        <v>08-2026</v>
      </c>
      <c r="C115" s="5" t="s">
        <v>297</v>
      </c>
      <c r="D115" s="4" t="s">
        <v>298</v>
      </c>
      <c r="E115" s="6" t="s">
        <v>19</v>
      </c>
      <c r="F115" s="6" t="s">
        <v>203</v>
      </c>
      <c r="G115" s="5"/>
      <c r="H115" s="6" t="s">
        <v>22</v>
      </c>
      <c r="I115" s="6"/>
      <c r="J115" s="3"/>
      <c r="K115" s="7" t="n">
        <f aca="true">IF(A115="","",TODAY()-A115)</f>
        <v>2</v>
      </c>
      <c r="L115" s="4"/>
      <c r="M115" s="5"/>
      <c r="N115" s="5"/>
      <c r="O115" s="5"/>
      <c r="P115" s="8" t="s">
        <v>296</v>
      </c>
    </row>
    <row r="116" customFormat="false" ht="18" hidden="false" customHeight="true" outlineLevel="0" collapsed="false">
      <c r="A116" s="9" t="n">
        <v>46238</v>
      </c>
      <c r="B116" s="4" t="str">
        <f aca="false">IF(A116="","",TEXT(A116,"MM-YYYY"))</f>
        <v>08-2026</v>
      </c>
      <c r="C116" s="10" t="s">
        <v>299</v>
      </c>
      <c r="D116" s="11" t="s">
        <v>300</v>
      </c>
      <c r="E116" s="12" t="s">
        <v>19</v>
      </c>
      <c r="F116" s="12" t="s">
        <v>203</v>
      </c>
      <c r="G116" s="10"/>
      <c r="H116" s="6" t="s">
        <v>22</v>
      </c>
      <c r="I116" s="12"/>
      <c r="J116" s="9"/>
      <c r="K116" s="13" t="n">
        <f aca="true">IF(A116="","",TODAY()-A116)</f>
        <v>2</v>
      </c>
      <c r="L116" s="11"/>
      <c r="M116" s="10"/>
      <c r="N116" s="10"/>
      <c r="O116" s="10"/>
      <c r="P116" s="14" t="s">
        <v>296</v>
      </c>
    </row>
    <row r="117" customFormat="false" ht="18" hidden="false" customHeight="true" outlineLevel="0" collapsed="false">
      <c r="A117" s="3" t="n">
        <v>46238</v>
      </c>
      <c r="B117" s="4" t="str">
        <f aca="false">IF(A117="","",TEXT(A117,"MM-YYYY"))</f>
        <v>08-2026</v>
      </c>
      <c r="C117" s="5" t="s">
        <v>301</v>
      </c>
      <c r="D117" s="4" t="s">
        <v>302</v>
      </c>
      <c r="E117" s="6" t="s">
        <v>19</v>
      </c>
      <c r="F117" s="6" t="s">
        <v>203</v>
      </c>
      <c r="G117" s="5"/>
      <c r="H117" s="6" t="s">
        <v>22</v>
      </c>
      <c r="I117" s="6"/>
      <c r="J117" s="3"/>
      <c r="K117" s="7" t="n">
        <f aca="true">IF(A117="","",TODAY()-A117)</f>
        <v>2</v>
      </c>
      <c r="L117" s="4"/>
      <c r="M117" s="5"/>
      <c r="N117" s="5"/>
      <c r="O117" s="5"/>
      <c r="P117" s="8" t="s">
        <v>296</v>
      </c>
    </row>
    <row r="118" customFormat="false" ht="18" hidden="false" customHeight="true" outlineLevel="0" collapsed="false">
      <c r="A118" s="9"/>
      <c r="B118" s="4" t="str">
        <f aca="false">IF(A118="","",TEXT(A118,"MM-YYYY"))</f>
        <v/>
      </c>
      <c r="C118" s="10" t="s">
        <v>303</v>
      </c>
      <c r="D118" s="11" t="s">
        <v>304</v>
      </c>
      <c r="E118" s="12" t="s">
        <v>305</v>
      </c>
      <c r="F118" s="12" t="s">
        <v>147</v>
      </c>
      <c r="G118" s="10" t="s">
        <v>306</v>
      </c>
      <c r="H118" s="6" t="s">
        <v>22</v>
      </c>
      <c r="I118" s="12"/>
      <c r="J118" s="9"/>
      <c r="K118" s="13" t="str">
        <f aca="true">IF(A118="","",TODAY()-A118)</f>
        <v/>
      </c>
      <c r="L118" s="11" t="s">
        <v>307</v>
      </c>
      <c r="M118" s="10" t="s">
        <v>308</v>
      </c>
      <c r="N118" s="10" t="s">
        <v>309</v>
      </c>
      <c r="O118" s="10" t="s">
        <v>310</v>
      </c>
      <c r="P118" s="14" t="s">
        <v>311</v>
      </c>
    </row>
    <row r="119" customFormat="false" ht="18" hidden="false" customHeight="true" outlineLevel="0" collapsed="false">
      <c r="A119" s="3"/>
      <c r="B119" s="4" t="str">
        <f aca="false">IF(A119="","",TEXT(A119,"MM-YYYY"))</f>
        <v/>
      </c>
      <c r="C119" s="5" t="s">
        <v>312</v>
      </c>
      <c r="D119" s="4" t="s">
        <v>313</v>
      </c>
      <c r="E119" s="6" t="s">
        <v>305</v>
      </c>
      <c r="F119" s="6" t="s">
        <v>147</v>
      </c>
      <c r="G119" s="5" t="s">
        <v>314</v>
      </c>
      <c r="H119" s="6" t="s">
        <v>22</v>
      </c>
      <c r="I119" s="6"/>
      <c r="J119" s="3"/>
      <c r="K119" s="7" t="str">
        <f aca="true">IF(A119="","",TODAY()-A119)</f>
        <v/>
      </c>
      <c r="L119" s="4" t="s">
        <v>315</v>
      </c>
      <c r="M119" s="5" t="s">
        <v>308</v>
      </c>
      <c r="N119" s="5" t="s">
        <v>309</v>
      </c>
      <c r="O119" s="5" t="s">
        <v>310</v>
      </c>
      <c r="P119" s="8" t="s">
        <v>316</v>
      </c>
    </row>
    <row r="120" customFormat="false" ht="18" hidden="false" customHeight="true" outlineLevel="0" collapsed="false">
      <c r="A120" s="9"/>
      <c r="B120" s="4" t="str">
        <f aca="false">IF(A120="","",TEXT(A120,"MM-YYYY"))</f>
        <v/>
      </c>
      <c r="C120" s="10" t="s">
        <v>317</v>
      </c>
      <c r="D120" s="11" t="s">
        <v>318</v>
      </c>
      <c r="E120" s="12" t="s">
        <v>305</v>
      </c>
      <c r="F120" s="12" t="s">
        <v>147</v>
      </c>
      <c r="G120" s="10" t="s">
        <v>319</v>
      </c>
      <c r="H120" s="6" t="s">
        <v>22</v>
      </c>
      <c r="I120" s="12"/>
      <c r="J120" s="9"/>
      <c r="K120" s="13" t="str">
        <f aca="true">IF(A120="","",TODAY()-A120)</f>
        <v/>
      </c>
      <c r="L120" s="11" t="s">
        <v>320</v>
      </c>
      <c r="M120" s="10" t="s">
        <v>308</v>
      </c>
      <c r="N120" s="10" t="s">
        <v>309</v>
      </c>
      <c r="O120" s="10" t="s">
        <v>310</v>
      </c>
      <c r="P120" s="14" t="s">
        <v>316</v>
      </c>
    </row>
    <row r="121" customFormat="false" ht="18" hidden="false" customHeight="true" outlineLevel="0" collapsed="false">
      <c r="A121" s="3"/>
      <c r="B121" s="4" t="str">
        <f aca="false">IF(A121="","",TEXT(A121,"MM-YYYY"))</f>
        <v/>
      </c>
      <c r="C121" s="5" t="s">
        <v>321</v>
      </c>
      <c r="D121" s="4" t="s">
        <v>322</v>
      </c>
      <c r="E121" s="6" t="s">
        <v>305</v>
      </c>
      <c r="F121" s="6" t="s">
        <v>147</v>
      </c>
      <c r="G121" s="5" t="s">
        <v>323</v>
      </c>
      <c r="H121" s="6" t="s">
        <v>22</v>
      </c>
      <c r="I121" s="6"/>
      <c r="J121" s="3"/>
      <c r="K121" s="7" t="str">
        <f aca="true">IF(A121="","",TODAY()-A121)</f>
        <v/>
      </c>
      <c r="L121" s="4" t="s">
        <v>324</v>
      </c>
      <c r="M121" s="5" t="s">
        <v>308</v>
      </c>
      <c r="N121" s="5" t="s">
        <v>309</v>
      </c>
      <c r="O121" s="5" t="s">
        <v>310</v>
      </c>
      <c r="P121" s="8" t="s">
        <v>316</v>
      </c>
    </row>
    <row r="122" customFormat="false" ht="18" hidden="false" customHeight="true" outlineLevel="0" collapsed="false">
      <c r="A122" s="9"/>
      <c r="B122" s="4" t="str">
        <f aca="false">IF(A122="","",TEXT(A122,"MM-YYYY"))</f>
        <v/>
      </c>
      <c r="C122" s="10" t="s">
        <v>325</v>
      </c>
      <c r="D122" s="11" t="s">
        <v>326</v>
      </c>
      <c r="E122" s="12" t="s">
        <v>305</v>
      </c>
      <c r="F122" s="12" t="s">
        <v>147</v>
      </c>
      <c r="G122" s="10" t="s">
        <v>319</v>
      </c>
      <c r="H122" s="6" t="s">
        <v>22</v>
      </c>
      <c r="I122" s="12"/>
      <c r="J122" s="9"/>
      <c r="K122" s="13" t="str">
        <f aca="true">IF(A122="","",TODAY()-A122)</f>
        <v/>
      </c>
      <c r="L122" s="11" t="s">
        <v>327</v>
      </c>
      <c r="M122" s="10" t="s">
        <v>308</v>
      </c>
      <c r="N122" s="10" t="s">
        <v>309</v>
      </c>
      <c r="O122" s="10" t="s">
        <v>310</v>
      </c>
      <c r="P122" s="14" t="s">
        <v>316</v>
      </c>
    </row>
    <row r="123" customFormat="false" ht="18" hidden="false" customHeight="true" outlineLevel="0" collapsed="false">
      <c r="A123" s="3"/>
      <c r="B123" s="4" t="str">
        <f aca="false">IF(A123="","",TEXT(A123,"MM-YYYY"))</f>
        <v/>
      </c>
      <c r="C123" s="5" t="s">
        <v>328</v>
      </c>
      <c r="D123" s="4" t="s">
        <v>329</v>
      </c>
      <c r="E123" s="6" t="s">
        <v>305</v>
      </c>
      <c r="F123" s="6" t="s">
        <v>147</v>
      </c>
      <c r="G123" s="5" t="s">
        <v>330</v>
      </c>
      <c r="H123" s="6" t="s">
        <v>22</v>
      </c>
      <c r="I123" s="6"/>
      <c r="J123" s="3"/>
      <c r="K123" s="7" t="str">
        <f aca="true">IF(A123="","",TODAY()-A123)</f>
        <v/>
      </c>
      <c r="L123" s="4" t="s">
        <v>331</v>
      </c>
      <c r="M123" s="5" t="s">
        <v>308</v>
      </c>
      <c r="N123" s="5" t="s">
        <v>309</v>
      </c>
      <c r="O123" s="5" t="s">
        <v>310</v>
      </c>
      <c r="P123" s="8" t="s">
        <v>316</v>
      </c>
    </row>
    <row r="124" customFormat="false" ht="18" hidden="false" customHeight="true" outlineLevel="0" collapsed="false">
      <c r="A124" s="9"/>
      <c r="B124" s="4" t="str">
        <f aca="false">IF(A124="","",TEXT(A124,"MM-YYYY"))</f>
        <v/>
      </c>
      <c r="C124" s="10" t="s">
        <v>332</v>
      </c>
      <c r="D124" s="11" t="s">
        <v>333</v>
      </c>
      <c r="E124" s="12" t="s">
        <v>305</v>
      </c>
      <c r="F124" s="12" t="s">
        <v>147</v>
      </c>
      <c r="G124" s="10" t="s">
        <v>334</v>
      </c>
      <c r="H124" s="6" t="s">
        <v>22</v>
      </c>
      <c r="I124" s="12"/>
      <c r="J124" s="9"/>
      <c r="K124" s="13" t="str">
        <f aca="true">IF(A124="","",TODAY()-A124)</f>
        <v/>
      </c>
      <c r="L124" s="11" t="s">
        <v>335</v>
      </c>
      <c r="M124" s="10" t="s">
        <v>308</v>
      </c>
      <c r="N124" s="10" t="s">
        <v>309</v>
      </c>
      <c r="O124" s="10" t="s">
        <v>310</v>
      </c>
      <c r="P124" s="14" t="s">
        <v>336</v>
      </c>
    </row>
    <row r="125" customFormat="false" ht="18" hidden="false" customHeight="true" outlineLevel="0" collapsed="false">
      <c r="A125" s="3"/>
      <c r="B125" s="4" t="str">
        <f aca="false">IF(A125="","",TEXT(A125,"MM-YYYY"))</f>
        <v/>
      </c>
      <c r="C125" s="5" t="s">
        <v>337</v>
      </c>
      <c r="D125" s="4"/>
      <c r="E125" s="6" t="s">
        <v>305</v>
      </c>
      <c r="F125" s="6" t="s">
        <v>147</v>
      </c>
      <c r="G125" s="5" t="s">
        <v>338</v>
      </c>
      <c r="H125" s="6" t="s">
        <v>22</v>
      </c>
      <c r="I125" s="6"/>
      <c r="J125" s="3"/>
      <c r="K125" s="7" t="str">
        <f aca="true">IF(A125="","",TODAY()-A125)</f>
        <v/>
      </c>
      <c r="L125" s="4" t="s">
        <v>339</v>
      </c>
      <c r="M125" s="5" t="s">
        <v>308</v>
      </c>
      <c r="N125" s="5" t="s">
        <v>309</v>
      </c>
      <c r="O125" s="5" t="s">
        <v>310</v>
      </c>
      <c r="P125" s="8" t="s">
        <v>316</v>
      </c>
    </row>
    <row r="126" customFormat="false" ht="18" hidden="false" customHeight="true" outlineLevel="0" collapsed="false">
      <c r="A126" s="9"/>
      <c r="B126" s="4" t="str">
        <f aca="false">IF(A126="","",TEXT(A126,"MM-YYYY"))</f>
        <v/>
      </c>
      <c r="C126" s="10" t="s">
        <v>340</v>
      </c>
      <c r="D126" s="11" t="s">
        <v>341</v>
      </c>
      <c r="E126" s="12" t="s">
        <v>305</v>
      </c>
      <c r="F126" s="12" t="s">
        <v>147</v>
      </c>
      <c r="G126" s="10" t="s">
        <v>342</v>
      </c>
      <c r="H126" s="6" t="s">
        <v>22</v>
      </c>
      <c r="I126" s="12"/>
      <c r="J126" s="9"/>
      <c r="K126" s="13" t="str">
        <f aca="true">IF(A126="","",TODAY()-A126)</f>
        <v/>
      </c>
      <c r="L126" s="11" t="s">
        <v>343</v>
      </c>
      <c r="M126" s="10" t="s">
        <v>308</v>
      </c>
      <c r="N126" s="10" t="s">
        <v>309</v>
      </c>
      <c r="O126" s="10" t="s">
        <v>310</v>
      </c>
      <c r="P126" s="14" t="s">
        <v>316</v>
      </c>
    </row>
    <row r="127" customFormat="false" ht="18" hidden="false" customHeight="true" outlineLevel="0" collapsed="false">
      <c r="A127" s="3"/>
      <c r="B127" s="4" t="str">
        <f aca="false">IF(A127="","",TEXT(A127,"MM-YYYY"))</f>
        <v/>
      </c>
      <c r="C127" s="5" t="s">
        <v>344</v>
      </c>
      <c r="D127" s="4" t="s">
        <v>345</v>
      </c>
      <c r="E127" s="6" t="s">
        <v>305</v>
      </c>
      <c r="F127" s="6" t="s">
        <v>147</v>
      </c>
      <c r="G127" s="5" t="s">
        <v>346</v>
      </c>
      <c r="H127" s="6" t="s">
        <v>22</v>
      </c>
      <c r="I127" s="6"/>
      <c r="J127" s="3"/>
      <c r="K127" s="7" t="str">
        <f aca="true">IF(A127="","",TODAY()-A127)</f>
        <v/>
      </c>
      <c r="L127" s="4" t="s">
        <v>347</v>
      </c>
      <c r="M127" s="5" t="s">
        <v>348</v>
      </c>
      <c r="N127" s="5" t="s">
        <v>349</v>
      </c>
      <c r="O127" s="5" t="s">
        <v>350</v>
      </c>
      <c r="P127" s="8" t="s">
        <v>311</v>
      </c>
    </row>
    <row r="128" customFormat="false" ht="18" hidden="false" customHeight="true" outlineLevel="0" collapsed="false">
      <c r="A128" s="9"/>
      <c r="B128" s="4" t="str">
        <f aca="false">IF(A128="","",TEXT(A128,"MM-YYYY"))</f>
        <v/>
      </c>
      <c r="C128" s="10" t="s">
        <v>351</v>
      </c>
      <c r="D128" s="11" t="s">
        <v>352</v>
      </c>
      <c r="E128" s="12" t="s">
        <v>305</v>
      </c>
      <c r="F128" s="12" t="s">
        <v>147</v>
      </c>
      <c r="G128" s="10" t="s">
        <v>353</v>
      </c>
      <c r="H128" s="6" t="s">
        <v>22</v>
      </c>
      <c r="I128" s="12"/>
      <c r="J128" s="9"/>
      <c r="K128" s="13" t="str">
        <f aca="true">IF(A128="","",TODAY()-A128)</f>
        <v/>
      </c>
      <c r="L128" s="11" t="s">
        <v>354</v>
      </c>
      <c r="M128" s="10" t="s">
        <v>308</v>
      </c>
      <c r="N128" s="10" t="s">
        <v>355</v>
      </c>
      <c r="O128" s="10" t="s">
        <v>310</v>
      </c>
      <c r="P128" s="14" t="s">
        <v>316</v>
      </c>
    </row>
    <row r="129" customFormat="false" ht="18" hidden="false" customHeight="true" outlineLevel="0" collapsed="false">
      <c r="A129" s="3"/>
      <c r="B129" s="4" t="str">
        <f aca="false">IF(A129="","",TEXT(A129,"MM-YYYY"))</f>
        <v/>
      </c>
      <c r="C129" s="5" t="s">
        <v>356</v>
      </c>
      <c r="D129" s="4" t="s">
        <v>357</v>
      </c>
      <c r="E129" s="6" t="s">
        <v>305</v>
      </c>
      <c r="F129" s="6" t="s">
        <v>147</v>
      </c>
      <c r="G129" s="5" t="s">
        <v>358</v>
      </c>
      <c r="H129" s="6" t="s">
        <v>22</v>
      </c>
      <c r="I129" s="6"/>
      <c r="J129" s="3"/>
      <c r="K129" s="7" t="str">
        <f aca="true">IF(A129="","",TODAY()-A129)</f>
        <v/>
      </c>
      <c r="L129" s="4" t="s">
        <v>359</v>
      </c>
      <c r="M129" s="5" t="s">
        <v>308</v>
      </c>
      <c r="N129" s="5" t="s">
        <v>309</v>
      </c>
      <c r="O129" s="5" t="s">
        <v>310</v>
      </c>
      <c r="P129" s="8" t="s">
        <v>311</v>
      </c>
    </row>
    <row r="130" customFormat="false" ht="18" hidden="false" customHeight="true" outlineLevel="0" collapsed="false">
      <c r="A130" s="9"/>
      <c r="B130" s="4" t="str">
        <f aca="false">IF(A130="","",TEXT(A130,"MM-YYYY"))</f>
        <v/>
      </c>
      <c r="C130" s="10" t="s">
        <v>360</v>
      </c>
      <c r="D130" s="11" t="s">
        <v>361</v>
      </c>
      <c r="E130" s="12" t="s">
        <v>305</v>
      </c>
      <c r="F130" s="12" t="s">
        <v>147</v>
      </c>
      <c r="G130" s="10" t="s">
        <v>362</v>
      </c>
      <c r="H130" s="6" t="s">
        <v>22</v>
      </c>
      <c r="I130" s="12"/>
      <c r="J130" s="9"/>
      <c r="K130" s="13" t="str">
        <f aca="true">IF(A130="","",TODAY()-A130)</f>
        <v/>
      </c>
      <c r="L130" s="11" t="s">
        <v>363</v>
      </c>
      <c r="M130" s="10" t="s">
        <v>308</v>
      </c>
      <c r="N130" s="10" t="s">
        <v>309</v>
      </c>
      <c r="O130" s="10" t="s">
        <v>310</v>
      </c>
      <c r="P130" s="14" t="s">
        <v>311</v>
      </c>
    </row>
    <row r="131" customFormat="false" ht="18" hidden="false" customHeight="true" outlineLevel="0" collapsed="false">
      <c r="A131" s="3"/>
      <c r="B131" s="4" t="str">
        <f aca="false">IF(A131="","",TEXT(A131,"MM-YYYY"))</f>
        <v/>
      </c>
      <c r="C131" s="5" t="s">
        <v>364</v>
      </c>
      <c r="D131" s="4" t="s">
        <v>365</v>
      </c>
      <c r="E131" s="6" t="s">
        <v>305</v>
      </c>
      <c r="F131" s="6" t="s">
        <v>147</v>
      </c>
      <c r="G131" s="5" t="s">
        <v>366</v>
      </c>
      <c r="H131" s="6" t="s">
        <v>22</v>
      </c>
      <c r="I131" s="6"/>
      <c r="J131" s="3"/>
      <c r="K131" s="7" t="str">
        <f aca="true">IF(A131="","",TODAY()-A131)</f>
        <v/>
      </c>
      <c r="L131" s="4" t="s">
        <v>367</v>
      </c>
      <c r="M131" s="5" t="s">
        <v>348</v>
      </c>
      <c r="N131" s="5" t="s">
        <v>368</v>
      </c>
      <c r="O131" s="5" t="s">
        <v>350</v>
      </c>
      <c r="P131" s="8" t="s">
        <v>311</v>
      </c>
    </row>
    <row r="132" customFormat="false" ht="18" hidden="false" customHeight="true" outlineLevel="0" collapsed="false">
      <c r="A132" s="9"/>
      <c r="B132" s="4" t="str">
        <f aca="false">IF(A132="","",TEXT(A132,"MM-YYYY"))</f>
        <v/>
      </c>
      <c r="C132" s="10" t="s">
        <v>369</v>
      </c>
      <c r="D132" s="11" t="s">
        <v>370</v>
      </c>
      <c r="E132" s="12" t="s">
        <v>305</v>
      </c>
      <c r="F132" s="12" t="s">
        <v>147</v>
      </c>
      <c r="G132" s="10" t="s">
        <v>371</v>
      </c>
      <c r="H132" s="6" t="s">
        <v>22</v>
      </c>
      <c r="I132" s="12"/>
      <c r="J132" s="9"/>
      <c r="K132" s="13" t="str">
        <f aca="true">IF(A132="","",TODAY()-A132)</f>
        <v/>
      </c>
      <c r="L132" s="11" t="s">
        <v>372</v>
      </c>
      <c r="M132" s="10" t="s">
        <v>308</v>
      </c>
      <c r="N132" s="10" t="s">
        <v>309</v>
      </c>
      <c r="O132" s="10" t="s">
        <v>310</v>
      </c>
      <c r="P132" s="14" t="s">
        <v>316</v>
      </c>
    </row>
    <row r="133" customFormat="false" ht="18" hidden="false" customHeight="true" outlineLevel="0" collapsed="false">
      <c r="A133" s="3"/>
      <c r="B133" s="4" t="str">
        <f aca="false">IF(A133="","",TEXT(A133,"MM-YYYY"))</f>
        <v/>
      </c>
      <c r="C133" s="5" t="s">
        <v>373</v>
      </c>
      <c r="D133" s="4" t="s">
        <v>326</v>
      </c>
      <c r="E133" s="6" t="s">
        <v>305</v>
      </c>
      <c r="F133" s="6" t="s">
        <v>147</v>
      </c>
      <c r="G133" s="5" t="s">
        <v>374</v>
      </c>
      <c r="H133" s="6" t="s">
        <v>22</v>
      </c>
      <c r="I133" s="6"/>
      <c r="J133" s="3"/>
      <c r="K133" s="7" t="str">
        <f aca="true">IF(A133="","",TODAY()-A133)</f>
        <v/>
      </c>
      <c r="L133" s="4" t="s">
        <v>375</v>
      </c>
      <c r="M133" s="5" t="s">
        <v>308</v>
      </c>
      <c r="N133" s="5" t="s">
        <v>309</v>
      </c>
      <c r="O133" s="5" t="s">
        <v>310</v>
      </c>
      <c r="P133" s="8" t="s">
        <v>316</v>
      </c>
    </row>
    <row r="134" customFormat="false" ht="18" hidden="false" customHeight="true" outlineLevel="0" collapsed="false">
      <c r="A134" s="9"/>
      <c r="B134" s="4" t="str">
        <f aca="false">IF(A134="","",TEXT(A134,"MM-YYYY"))</f>
        <v/>
      </c>
      <c r="C134" s="10" t="s">
        <v>376</v>
      </c>
      <c r="D134" s="11" t="s">
        <v>377</v>
      </c>
      <c r="E134" s="12" t="s">
        <v>305</v>
      </c>
      <c r="F134" s="12" t="s">
        <v>147</v>
      </c>
      <c r="G134" s="10" t="s">
        <v>314</v>
      </c>
      <c r="H134" s="6" t="s">
        <v>26</v>
      </c>
      <c r="I134" s="12"/>
      <c r="J134" s="9"/>
      <c r="K134" s="13" t="str">
        <f aca="true">IF(A134="","",TODAY()-A134)</f>
        <v/>
      </c>
      <c r="L134" s="11" t="s">
        <v>378</v>
      </c>
      <c r="M134" s="10" t="s">
        <v>348</v>
      </c>
      <c r="N134" s="10" t="s">
        <v>349</v>
      </c>
      <c r="O134" s="10" t="s">
        <v>350</v>
      </c>
      <c r="P134" s="14" t="s">
        <v>379</v>
      </c>
    </row>
    <row r="135" customFormat="false" ht="18" hidden="false" customHeight="true" outlineLevel="0" collapsed="false">
      <c r="A135" s="3"/>
      <c r="B135" s="4" t="str">
        <f aca="false">IF(A135="","",TEXT(A135,"MM-YYYY"))</f>
        <v/>
      </c>
      <c r="C135" s="5" t="s">
        <v>380</v>
      </c>
      <c r="D135" s="4" t="s">
        <v>381</v>
      </c>
      <c r="E135" s="6" t="s">
        <v>305</v>
      </c>
      <c r="F135" s="6" t="s">
        <v>147</v>
      </c>
      <c r="G135" s="5" t="s">
        <v>382</v>
      </c>
      <c r="H135" s="6" t="s">
        <v>22</v>
      </c>
      <c r="I135" s="6"/>
      <c r="J135" s="3"/>
      <c r="K135" s="7" t="str">
        <f aca="true">IF(A135="","",TODAY()-A135)</f>
        <v/>
      </c>
      <c r="L135" s="4" t="s">
        <v>383</v>
      </c>
      <c r="M135" s="5" t="s">
        <v>348</v>
      </c>
      <c r="N135" s="5" t="s">
        <v>368</v>
      </c>
      <c r="O135" s="5" t="s">
        <v>350</v>
      </c>
      <c r="P135" s="8" t="s">
        <v>311</v>
      </c>
    </row>
    <row r="136" customFormat="false" ht="18" hidden="false" customHeight="true" outlineLevel="0" collapsed="false">
      <c r="A136" s="9"/>
      <c r="B136" s="4" t="str">
        <f aca="false">IF(A136="","",TEXT(A136,"MM-YYYY"))</f>
        <v/>
      </c>
      <c r="C136" s="10" t="s">
        <v>384</v>
      </c>
      <c r="D136" s="11" t="s">
        <v>385</v>
      </c>
      <c r="E136" s="12" t="s">
        <v>305</v>
      </c>
      <c r="F136" s="12" t="s">
        <v>147</v>
      </c>
      <c r="G136" s="10" t="s">
        <v>386</v>
      </c>
      <c r="H136" s="6" t="s">
        <v>22</v>
      </c>
      <c r="I136" s="12"/>
      <c r="J136" s="9"/>
      <c r="K136" s="13" t="str">
        <f aca="true">IF(A136="","",TODAY()-A136)</f>
        <v/>
      </c>
      <c r="L136" s="11" t="s">
        <v>387</v>
      </c>
      <c r="M136" s="10" t="s">
        <v>348</v>
      </c>
      <c r="N136" s="10" t="s">
        <v>368</v>
      </c>
      <c r="O136" s="10" t="s">
        <v>350</v>
      </c>
      <c r="P136" s="14" t="s">
        <v>311</v>
      </c>
    </row>
    <row r="137" customFormat="false" ht="18" hidden="false" customHeight="true" outlineLevel="0" collapsed="false">
      <c r="A137" s="3"/>
      <c r="B137" s="4" t="str">
        <f aca="false">IF(A137="","",TEXT(A137,"MM-YYYY"))</f>
        <v/>
      </c>
      <c r="C137" s="5" t="s">
        <v>388</v>
      </c>
      <c r="D137" s="4" t="s">
        <v>389</v>
      </c>
      <c r="E137" s="6" t="s">
        <v>305</v>
      </c>
      <c r="F137" s="6" t="s">
        <v>147</v>
      </c>
      <c r="G137" s="5" t="s">
        <v>319</v>
      </c>
      <c r="H137" s="6" t="s">
        <v>22</v>
      </c>
      <c r="I137" s="6"/>
      <c r="J137" s="3"/>
      <c r="K137" s="7" t="str">
        <f aca="true">IF(A137="","",TODAY()-A137)</f>
        <v/>
      </c>
      <c r="L137" s="4" t="s">
        <v>390</v>
      </c>
      <c r="M137" s="5" t="s">
        <v>308</v>
      </c>
      <c r="N137" s="5" t="s">
        <v>309</v>
      </c>
      <c r="O137" s="5" t="s">
        <v>310</v>
      </c>
      <c r="P137" s="8" t="s">
        <v>391</v>
      </c>
    </row>
    <row r="138" customFormat="false" ht="18" hidden="false" customHeight="true" outlineLevel="0" collapsed="false">
      <c r="A138" s="9"/>
      <c r="B138" s="4" t="str">
        <f aca="false">IF(A138="","",TEXT(A138,"MM-YYYY"))</f>
        <v/>
      </c>
      <c r="C138" s="10" t="s">
        <v>392</v>
      </c>
      <c r="D138" s="11" t="s">
        <v>393</v>
      </c>
      <c r="E138" s="12" t="s">
        <v>305</v>
      </c>
      <c r="F138" s="12" t="s">
        <v>147</v>
      </c>
      <c r="G138" s="10" t="s">
        <v>358</v>
      </c>
      <c r="H138" s="6" t="s">
        <v>22</v>
      </c>
      <c r="I138" s="12"/>
      <c r="J138" s="9"/>
      <c r="K138" s="13" t="str">
        <f aca="true">IF(A138="","",TODAY()-A138)</f>
        <v/>
      </c>
      <c r="L138" s="11" t="s">
        <v>394</v>
      </c>
      <c r="M138" s="10" t="s">
        <v>308</v>
      </c>
      <c r="N138" s="10" t="s">
        <v>309</v>
      </c>
      <c r="O138" s="10" t="s">
        <v>310</v>
      </c>
      <c r="P138" s="14" t="s">
        <v>311</v>
      </c>
    </row>
    <row r="139" customFormat="false" ht="18" hidden="false" customHeight="true" outlineLevel="0" collapsed="false">
      <c r="A139" s="3"/>
      <c r="B139" s="4" t="str">
        <f aca="false">IF(A139="","",TEXT(A139,"MM-YYYY"))</f>
        <v/>
      </c>
      <c r="C139" s="5" t="s">
        <v>395</v>
      </c>
      <c r="D139" s="4" t="s">
        <v>326</v>
      </c>
      <c r="E139" s="6" t="s">
        <v>305</v>
      </c>
      <c r="F139" s="6" t="s">
        <v>147</v>
      </c>
      <c r="G139" s="5" t="s">
        <v>396</v>
      </c>
      <c r="H139" s="6" t="s">
        <v>22</v>
      </c>
      <c r="I139" s="6"/>
      <c r="J139" s="3"/>
      <c r="K139" s="7" t="str">
        <f aca="true">IF(A139="","",TODAY()-A139)</f>
        <v/>
      </c>
      <c r="L139" s="4" t="s">
        <v>397</v>
      </c>
      <c r="M139" s="5" t="s">
        <v>308</v>
      </c>
      <c r="N139" s="5" t="s">
        <v>309</v>
      </c>
      <c r="O139" s="5" t="s">
        <v>310</v>
      </c>
      <c r="P139" s="8" t="s">
        <v>316</v>
      </c>
    </row>
    <row r="140" customFormat="false" ht="18" hidden="false" customHeight="true" outlineLevel="0" collapsed="false">
      <c r="A140" s="9"/>
      <c r="B140" s="4" t="str">
        <f aca="false">IF(A140="","",TEXT(A140,"MM-YYYY"))</f>
        <v/>
      </c>
      <c r="C140" s="10" t="s">
        <v>398</v>
      </c>
      <c r="D140" s="11" t="s">
        <v>399</v>
      </c>
      <c r="E140" s="12" t="s">
        <v>305</v>
      </c>
      <c r="F140" s="12" t="s">
        <v>147</v>
      </c>
      <c r="G140" s="10" t="s">
        <v>400</v>
      </c>
      <c r="H140" s="6" t="s">
        <v>22</v>
      </c>
      <c r="I140" s="12"/>
      <c r="J140" s="9"/>
      <c r="K140" s="13" t="str">
        <f aca="true">IF(A140="","",TODAY()-A140)</f>
        <v/>
      </c>
      <c r="L140" s="11" t="s">
        <v>401</v>
      </c>
      <c r="M140" s="10" t="s">
        <v>308</v>
      </c>
      <c r="N140" s="10" t="s">
        <v>309</v>
      </c>
      <c r="O140" s="10" t="s">
        <v>310</v>
      </c>
      <c r="P140" s="14" t="s">
        <v>391</v>
      </c>
    </row>
    <row r="141" customFormat="false" ht="18" hidden="false" customHeight="true" outlineLevel="0" collapsed="false">
      <c r="A141" s="3"/>
      <c r="B141" s="4" t="str">
        <f aca="false">IF(A141="","",TEXT(A141,"MM-YYYY"))</f>
        <v/>
      </c>
      <c r="C141" s="5" t="s">
        <v>402</v>
      </c>
      <c r="D141" s="4" t="s">
        <v>403</v>
      </c>
      <c r="E141" s="6" t="s">
        <v>305</v>
      </c>
      <c r="F141" s="6" t="s">
        <v>147</v>
      </c>
      <c r="G141" s="5" t="s">
        <v>404</v>
      </c>
      <c r="H141" s="6" t="s">
        <v>22</v>
      </c>
      <c r="I141" s="6"/>
      <c r="J141" s="3"/>
      <c r="K141" s="7" t="str">
        <f aca="true">IF(A141="","",TODAY()-A141)</f>
        <v/>
      </c>
      <c r="L141" s="4" t="s">
        <v>405</v>
      </c>
      <c r="M141" s="5" t="s">
        <v>308</v>
      </c>
      <c r="N141" s="5" t="s">
        <v>309</v>
      </c>
      <c r="O141" s="5" t="s">
        <v>310</v>
      </c>
      <c r="P141" s="8" t="s">
        <v>316</v>
      </c>
    </row>
    <row r="142" customFormat="false" ht="18" hidden="false" customHeight="true" outlineLevel="0" collapsed="false">
      <c r="A142" s="9"/>
      <c r="B142" s="4" t="str">
        <f aca="false">IF(A142="","",TEXT(A142,"MM-YYYY"))</f>
        <v/>
      </c>
      <c r="C142" s="10" t="s">
        <v>406</v>
      </c>
      <c r="D142" s="11" t="s">
        <v>407</v>
      </c>
      <c r="E142" s="12" t="s">
        <v>305</v>
      </c>
      <c r="F142" s="12" t="s">
        <v>147</v>
      </c>
      <c r="G142" s="10" t="s">
        <v>319</v>
      </c>
      <c r="H142" s="6" t="s">
        <v>22</v>
      </c>
      <c r="I142" s="12"/>
      <c r="J142" s="9"/>
      <c r="K142" s="13" t="str">
        <f aca="true">IF(A142="","",TODAY()-A142)</f>
        <v/>
      </c>
      <c r="L142" s="11" t="s">
        <v>408</v>
      </c>
      <c r="M142" s="10" t="s">
        <v>308</v>
      </c>
      <c r="N142" s="10" t="s">
        <v>309</v>
      </c>
      <c r="O142" s="10" t="s">
        <v>310</v>
      </c>
      <c r="P142" s="14" t="s">
        <v>391</v>
      </c>
    </row>
    <row r="143" customFormat="false" ht="18" hidden="false" customHeight="true" outlineLevel="0" collapsed="false">
      <c r="A143" s="3"/>
      <c r="B143" s="4" t="str">
        <f aca="false">IF(A143="","",TEXT(A143,"MM-YYYY"))</f>
        <v/>
      </c>
      <c r="C143" s="5" t="s">
        <v>409</v>
      </c>
      <c r="D143" s="4" t="s">
        <v>410</v>
      </c>
      <c r="E143" s="6" t="s">
        <v>305</v>
      </c>
      <c r="F143" s="6" t="s">
        <v>147</v>
      </c>
      <c r="G143" s="5" t="s">
        <v>411</v>
      </c>
      <c r="H143" s="6" t="s">
        <v>22</v>
      </c>
      <c r="I143" s="6"/>
      <c r="J143" s="3"/>
      <c r="K143" s="7" t="str">
        <f aca="true">IF(A143="","",TODAY()-A143)</f>
        <v/>
      </c>
      <c r="L143" s="4" t="s">
        <v>412</v>
      </c>
      <c r="M143" s="5" t="s">
        <v>308</v>
      </c>
      <c r="N143" s="5" t="s">
        <v>309</v>
      </c>
      <c r="O143" s="5" t="s">
        <v>310</v>
      </c>
      <c r="P143" s="8" t="s">
        <v>316</v>
      </c>
    </row>
    <row r="144" customFormat="false" ht="18" hidden="false" customHeight="true" outlineLevel="0" collapsed="false">
      <c r="A144" s="9"/>
      <c r="B144" s="4" t="str">
        <f aca="false">IF(A144="","",TEXT(A144,"MM-YYYY"))</f>
        <v/>
      </c>
      <c r="C144" s="10" t="s">
        <v>413</v>
      </c>
      <c r="D144" s="11" t="s">
        <v>414</v>
      </c>
      <c r="E144" s="12" t="s">
        <v>305</v>
      </c>
      <c r="F144" s="12" t="s">
        <v>147</v>
      </c>
      <c r="G144" s="10" t="s">
        <v>404</v>
      </c>
      <c r="H144" s="6" t="s">
        <v>22</v>
      </c>
      <c r="I144" s="12"/>
      <c r="J144" s="9"/>
      <c r="K144" s="13" t="str">
        <f aca="true">IF(A144="","",TODAY()-A144)</f>
        <v/>
      </c>
      <c r="L144" s="11" t="s">
        <v>415</v>
      </c>
      <c r="M144" s="10" t="s">
        <v>308</v>
      </c>
      <c r="N144" s="10" t="s">
        <v>309</v>
      </c>
      <c r="O144" s="10" t="s">
        <v>310</v>
      </c>
      <c r="P144" s="14" t="s">
        <v>316</v>
      </c>
    </row>
    <row r="145" customFormat="false" ht="18" hidden="false" customHeight="true" outlineLevel="0" collapsed="false">
      <c r="A145" s="3"/>
      <c r="B145" s="4" t="str">
        <f aca="false">IF(A145="","",TEXT(A145,"MM-YYYY"))</f>
        <v/>
      </c>
      <c r="C145" s="5" t="s">
        <v>416</v>
      </c>
      <c r="D145" s="4" t="s">
        <v>417</v>
      </c>
      <c r="E145" s="6" t="s">
        <v>305</v>
      </c>
      <c r="F145" s="6" t="s">
        <v>147</v>
      </c>
      <c r="G145" s="5" t="s">
        <v>418</v>
      </c>
      <c r="H145" s="6" t="s">
        <v>22</v>
      </c>
      <c r="I145" s="6"/>
      <c r="J145" s="3"/>
      <c r="K145" s="7" t="str">
        <f aca="true">IF(A145="","",TODAY()-A145)</f>
        <v/>
      </c>
      <c r="L145" s="4" t="s">
        <v>419</v>
      </c>
      <c r="M145" s="5" t="s">
        <v>308</v>
      </c>
      <c r="N145" s="5" t="s">
        <v>309</v>
      </c>
      <c r="O145" s="5" t="s">
        <v>310</v>
      </c>
      <c r="P145" s="8" t="s">
        <v>316</v>
      </c>
    </row>
    <row r="146" customFormat="false" ht="18" hidden="false" customHeight="true" outlineLevel="0" collapsed="false">
      <c r="A146" s="9"/>
      <c r="B146" s="4" t="str">
        <f aca="false">IF(A146="","",TEXT(A146,"MM-YYYY"))</f>
        <v/>
      </c>
      <c r="C146" s="10" t="s">
        <v>420</v>
      </c>
      <c r="D146" s="11" t="s">
        <v>421</v>
      </c>
      <c r="E146" s="12" t="s">
        <v>305</v>
      </c>
      <c r="F146" s="12" t="s">
        <v>147</v>
      </c>
      <c r="G146" s="10" t="s">
        <v>422</v>
      </c>
      <c r="H146" s="6" t="s">
        <v>22</v>
      </c>
      <c r="I146" s="12"/>
      <c r="J146" s="9"/>
      <c r="K146" s="13" t="str">
        <f aca="true">IF(A146="","",TODAY()-A146)</f>
        <v/>
      </c>
      <c r="L146" s="11" t="s">
        <v>423</v>
      </c>
      <c r="M146" s="10" t="s">
        <v>308</v>
      </c>
      <c r="N146" s="10" t="s">
        <v>309</v>
      </c>
      <c r="O146" s="10" t="s">
        <v>310</v>
      </c>
      <c r="P146" s="14" t="s">
        <v>316</v>
      </c>
    </row>
    <row r="147" customFormat="false" ht="18" hidden="false" customHeight="true" outlineLevel="0" collapsed="false">
      <c r="A147" s="3"/>
      <c r="B147" s="4" t="str">
        <f aca="false">IF(A147="","",TEXT(A147,"MM-YYYY"))</f>
        <v/>
      </c>
      <c r="C147" s="5" t="s">
        <v>424</v>
      </c>
      <c r="D147" s="4" t="s">
        <v>326</v>
      </c>
      <c r="E147" s="6" t="s">
        <v>305</v>
      </c>
      <c r="F147" s="6" t="s">
        <v>147</v>
      </c>
      <c r="G147" s="5" t="s">
        <v>425</v>
      </c>
      <c r="H147" s="6" t="s">
        <v>22</v>
      </c>
      <c r="I147" s="6"/>
      <c r="J147" s="3"/>
      <c r="K147" s="7" t="str">
        <f aca="true">IF(A147="","",TODAY()-A147)</f>
        <v/>
      </c>
      <c r="L147" s="4" t="s">
        <v>426</v>
      </c>
      <c r="M147" s="5" t="s">
        <v>308</v>
      </c>
      <c r="N147" s="5" t="s">
        <v>309</v>
      </c>
      <c r="O147" s="5" t="s">
        <v>310</v>
      </c>
      <c r="P147" s="8" t="s">
        <v>316</v>
      </c>
    </row>
    <row r="148" customFormat="false" ht="18" hidden="false" customHeight="true" outlineLevel="0" collapsed="false">
      <c r="A148" s="9"/>
      <c r="B148" s="4" t="str">
        <f aca="false">IF(A148="","",TEXT(A148,"MM-YYYY"))</f>
        <v/>
      </c>
      <c r="C148" s="10" t="s">
        <v>427</v>
      </c>
      <c r="D148" s="11" t="s">
        <v>428</v>
      </c>
      <c r="E148" s="12" t="s">
        <v>305</v>
      </c>
      <c r="F148" s="12" t="s">
        <v>147</v>
      </c>
      <c r="G148" s="10" t="s">
        <v>429</v>
      </c>
      <c r="H148" s="6" t="s">
        <v>22</v>
      </c>
      <c r="I148" s="12"/>
      <c r="J148" s="9"/>
      <c r="K148" s="13" t="str">
        <f aca="true">IF(A148="","",TODAY()-A148)</f>
        <v/>
      </c>
      <c r="L148" s="11" t="s">
        <v>430</v>
      </c>
      <c r="M148" s="10" t="s">
        <v>308</v>
      </c>
      <c r="N148" s="10" t="s">
        <v>309</v>
      </c>
      <c r="O148" s="10" t="s">
        <v>310</v>
      </c>
      <c r="P148" s="14" t="s">
        <v>311</v>
      </c>
    </row>
    <row r="149" customFormat="false" ht="18" hidden="false" customHeight="true" outlineLevel="0" collapsed="false">
      <c r="A149" s="3"/>
      <c r="B149" s="4" t="str">
        <f aca="false">IF(A149="","",TEXT(A149,"MM-YYYY"))</f>
        <v/>
      </c>
      <c r="C149" s="5" t="s">
        <v>431</v>
      </c>
      <c r="D149" s="4" t="s">
        <v>432</v>
      </c>
      <c r="E149" s="6" t="s">
        <v>305</v>
      </c>
      <c r="F149" s="6" t="s">
        <v>147</v>
      </c>
      <c r="G149" s="5" t="s">
        <v>306</v>
      </c>
      <c r="H149" s="6" t="s">
        <v>22</v>
      </c>
      <c r="I149" s="6"/>
      <c r="J149" s="3"/>
      <c r="K149" s="7" t="str">
        <f aca="true">IF(A149="","",TODAY()-A149)</f>
        <v/>
      </c>
      <c r="L149" s="4" t="s">
        <v>433</v>
      </c>
      <c r="M149" s="5" t="s">
        <v>308</v>
      </c>
      <c r="N149" s="5" t="s">
        <v>309</v>
      </c>
      <c r="O149" s="5" t="s">
        <v>310</v>
      </c>
      <c r="P149" s="8" t="s">
        <v>311</v>
      </c>
    </row>
    <row r="150" customFormat="false" ht="18" hidden="false" customHeight="true" outlineLevel="0" collapsed="false">
      <c r="A150" s="9"/>
      <c r="B150" s="4" t="str">
        <f aca="false">IF(A150="","",TEXT(A150,"MM-YYYY"))</f>
        <v/>
      </c>
      <c r="C150" s="10" t="s">
        <v>434</v>
      </c>
      <c r="D150" s="11" t="s">
        <v>435</v>
      </c>
      <c r="E150" s="12" t="s">
        <v>305</v>
      </c>
      <c r="F150" s="12" t="s">
        <v>147</v>
      </c>
      <c r="G150" s="10" t="s">
        <v>436</v>
      </c>
      <c r="H150" s="6" t="s">
        <v>26</v>
      </c>
      <c r="I150" s="12"/>
      <c r="J150" s="9"/>
      <c r="K150" s="13" t="str">
        <f aca="true">IF(A150="","",TODAY()-A150)</f>
        <v/>
      </c>
      <c r="L150" s="11" t="s">
        <v>437</v>
      </c>
      <c r="M150" s="10" t="s">
        <v>308</v>
      </c>
      <c r="N150" s="10" t="s">
        <v>309</v>
      </c>
      <c r="O150" s="10" t="s">
        <v>310</v>
      </c>
      <c r="P150" s="14" t="s">
        <v>438</v>
      </c>
    </row>
    <row r="151" customFormat="false" ht="18" hidden="false" customHeight="true" outlineLevel="0" collapsed="false">
      <c r="A151" s="3"/>
      <c r="B151" s="4" t="str">
        <f aca="false">IF(A151="","",TEXT(A151,"MM-YYYY"))</f>
        <v/>
      </c>
      <c r="C151" s="5" t="s">
        <v>439</v>
      </c>
      <c r="D151" s="4" t="s">
        <v>326</v>
      </c>
      <c r="E151" s="6" t="s">
        <v>305</v>
      </c>
      <c r="F151" s="6" t="s">
        <v>147</v>
      </c>
      <c r="G151" s="5" t="s">
        <v>440</v>
      </c>
      <c r="H151" s="6" t="s">
        <v>22</v>
      </c>
      <c r="I151" s="6"/>
      <c r="J151" s="3"/>
      <c r="K151" s="7" t="str">
        <f aca="true">IF(A151="","",TODAY()-A151)</f>
        <v/>
      </c>
      <c r="L151" s="4" t="s">
        <v>441</v>
      </c>
      <c r="M151" s="5" t="s">
        <v>308</v>
      </c>
      <c r="N151" s="5" t="s">
        <v>309</v>
      </c>
      <c r="O151" s="5" t="s">
        <v>310</v>
      </c>
      <c r="P151" s="8" t="s">
        <v>316</v>
      </c>
    </row>
    <row r="152" customFormat="false" ht="18" hidden="false" customHeight="true" outlineLevel="0" collapsed="false">
      <c r="A152" s="9"/>
      <c r="B152" s="4" t="str">
        <f aca="false">IF(A152="","",TEXT(A152,"MM-YYYY"))</f>
        <v/>
      </c>
      <c r="C152" s="10" t="s">
        <v>442</v>
      </c>
      <c r="D152" s="11" t="s">
        <v>443</v>
      </c>
      <c r="E152" s="12" t="s">
        <v>305</v>
      </c>
      <c r="F152" s="12" t="s">
        <v>147</v>
      </c>
      <c r="G152" s="10" t="s">
        <v>358</v>
      </c>
      <c r="H152" s="6" t="s">
        <v>22</v>
      </c>
      <c r="I152" s="12"/>
      <c r="J152" s="9"/>
      <c r="K152" s="13" t="str">
        <f aca="true">IF(A152="","",TODAY()-A152)</f>
        <v/>
      </c>
      <c r="L152" s="11" t="s">
        <v>444</v>
      </c>
      <c r="M152" s="10" t="s">
        <v>308</v>
      </c>
      <c r="N152" s="10" t="s">
        <v>309</v>
      </c>
      <c r="O152" s="10" t="s">
        <v>310</v>
      </c>
      <c r="P152" s="14" t="s">
        <v>311</v>
      </c>
    </row>
    <row r="153" customFormat="false" ht="18" hidden="false" customHeight="true" outlineLevel="0" collapsed="false">
      <c r="A153" s="3"/>
      <c r="B153" s="4" t="str">
        <f aca="false">IF(A153="","",TEXT(A153,"MM-YYYY"))</f>
        <v/>
      </c>
      <c r="C153" s="5" t="s">
        <v>445</v>
      </c>
      <c r="D153" s="4" t="s">
        <v>446</v>
      </c>
      <c r="E153" s="6" t="s">
        <v>305</v>
      </c>
      <c r="F153" s="6" t="s">
        <v>147</v>
      </c>
      <c r="G153" s="5" t="s">
        <v>418</v>
      </c>
      <c r="H153" s="6" t="s">
        <v>22</v>
      </c>
      <c r="I153" s="6"/>
      <c r="J153" s="3"/>
      <c r="K153" s="7" t="str">
        <f aca="true">IF(A153="","",TODAY()-A153)</f>
        <v/>
      </c>
      <c r="L153" s="4" t="s">
        <v>447</v>
      </c>
      <c r="M153" s="5" t="s">
        <v>308</v>
      </c>
      <c r="N153" s="5" t="s">
        <v>309</v>
      </c>
      <c r="O153" s="5" t="s">
        <v>310</v>
      </c>
      <c r="P153" s="8" t="s">
        <v>311</v>
      </c>
    </row>
    <row r="154" customFormat="false" ht="18" hidden="false" customHeight="true" outlineLevel="0" collapsed="false">
      <c r="A154" s="9"/>
      <c r="B154" s="4" t="str">
        <f aca="false">IF(A154="","",TEXT(A154,"MM-YYYY"))</f>
        <v/>
      </c>
      <c r="C154" s="10" t="s">
        <v>448</v>
      </c>
      <c r="D154" s="11" t="s">
        <v>449</v>
      </c>
      <c r="E154" s="12" t="s">
        <v>305</v>
      </c>
      <c r="F154" s="12" t="s">
        <v>147</v>
      </c>
      <c r="G154" s="10" t="s">
        <v>306</v>
      </c>
      <c r="H154" s="6" t="s">
        <v>22</v>
      </c>
      <c r="I154" s="12"/>
      <c r="J154" s="9"/>
      <c r="K154" s="13" t="str">
        <f aca="true">IF(A154="","",TODAY()-A154)</f>
        <v/>
      </c>
      <c r="L154" s="11" t="s">
        <v>450</v>
      </c>
      <c r="M154" s="10" t="s">
        <v>308</v>
      </c>
      <c r="N154" s="10" t="s">
        <v>309</v>
      </c>
      <c r="O154" s="10" t="s">
        <v>310</v>
      </c>
      <c r="P154" s="14" t="s">
        <v>316</v>
      </c>
    </row>
    <row r="155" customFormat="false" ht="18" hidden="false" customHeight="true" outlineLevel="0" collapsed="false">
      <c r="A155" s="3"/>
      <c r="B155" s="4" t="str">
        <f aca="false">IF(A155="","",TEXT(A155,"MM-YYYY"))</f>
        <v/>
      </c>
      <c r="C155" s="5" t="s">
        <v>451</v>
      </c>
      <c r="D155" s="4" t="s">
        <v>452</v>
      </c>
      <c r="E155" s="6" t="s">
        <v>305</v>
      </c>
      <c r="F155" s="6" t="s">
        <v>147</v>
      </c>
      <c r="G155" s="5" t="s">
        <v>453</v>
      </c>
      <c r="H155" s="6" t="s">
        <v>22</v>
      </c>
      <c r="I155" s="6"/>
      <c r="J155" s="3"/>
      <c r="K155" s="7" t="str">
        <f aca="true">IF(A155="","",TODAY()-A155)</f>
        <v/>
      </c>
      <c r="L155" s="4" t="s">
        <v>454</v>
      </c>
      <c r="M155" s="5" t="s">
        <v>308</v>
      </c>
      <c r="N155" s="5" t="s">
        <v>309</v>
      </c>
      <c r="O155" s="5" t="s">
        <v>310</v>
      </c>
      <c r="P155" s="8" t="s">
        <v>316</v>
      </c>
    </row>
    <row r="156" customFormat="false" ht="18" hidden="false" customHeight="true" outlineLevel="0" collapsed="false">
      <c r="A156" s="9"/>
      <c r="B156" s="4" t="str">
        <f aca="false">IF(A156="","",TEXT(A156,"MM-YYYY"))</f>
        <v/>
      </c>
      <c r="C156" s="10" t="s">
        <v>455</v>
      </c>
      <c r="D156" s="11" t="s">
        <v>456</v>
      </c>
      <c r="E156" s="12" t="s">
        <v>305</v>
      </c>
      <c r="F156" s="12" t="s">
        <v>147</v>
      </c>
      <c r="G156" s="10" t="s">
        <v>319</v>
      </c>
      <c r="H156" s="6" t="s">
        <v>22</v>
      </c>
      <c r="I156" s="12"/>
      <c r="J156" s="9"/>
      <c r="K156" s="13" t="str">
        <f aca="true">IF(A156="","",TODAY()-A156)</f>
        <v/>
      </c>
      <c r="L156" s="11" t="s">
        <v>457</v>
      </c>
      <c r="M156" s="10" t="s">
        <v>308</v>
      </c>
      <c r="N156" s="10" t="s">
        <v>309</v>
      </c>
      <c r="O156" s="10" t="s">
        <v>310</v>
      </c>
      <c r="P156" s="14" t="s">
        <v>311</v>
      </c>
    </row>
    <row r="157" customFormat="false" ht="18" hidden="false" customHeight="true" outlineLevel="0" collapsed="false">
      <c r="A157" s="3"/>
      <c r="B157" s="4" t="str">
        <f aca="false">IF(A157="","",TEXT(A157,"MM-YYYY"))</f>
        <v/>
      </c>
      <c r="C157" s="5" t="s">
        <v>458</v>
      </c>
      <c r="D157" s="4" t="s">
        <v>459</v>
      </c>
      <c r="E157" s="6" t="s">
        <v>305</v>
      </c>
      <c r="F157" s="6" t="s">
        <v>147</v>
      </c>
      <c r="G157" s="5" t="s">
        <v>460</v>
      </c>
      <c r="H157" s="6" t="s">
        <v>22</v>
      </c>
      <c r="I157" s="6"/>
      <c r="J157" s="3"/>
      <c r="K157" s="7" t="str">
        <f aca="true">IF(A157="","",TODAY()-A157)</f>
        <v/>
      </c>
      <c r="L157" s="4" t="s">
        <v>461</v>
      </c>
      <c r="M157" s="5" t="s">
        <v>308</v>
      </c>
      <c r="N157" s="5" t="s">
        <v>309</v>
      </c>
      <c r="O157" s="5" t="s">
        <v>310</v>
      </c>
      <c r="P157" s="8" t="s">
        <v>311</v>
      </c>
    </row>
    <row r="158" customFormat="false" ht="18" hidden="false" customHeight="true" outlineLevel="0" collapsed="false">
      <c r="A158" s="9"/>
      <c r="B158" s="4" t="str">
        <f aca="false">IF(A158="","",TEXT(A158,"MM-YYYY"))</f>
        <v/>
      </c>
      <c r="C158" s="10" t="s">
        <v>462</v>
      </c>
      <c r="D158" s="11" t="s">
        <v>463</v>
      </c>
      <c r="E158" s="12" t="s">
        <v>305</v>
      </c>
      <c r="F158" s="12" t="s">
        <v>147</v>
      </c>
      <c r="G158" s="10" t="s">
        <v>464</v>
      </c>
      <c r="H158" s="6" t="s">
        <v>22</v>
      </c>
      <c r="I158" s="12"/>
      <c r="J158" s="9"/>
      <c r="K158" s="13" t="str">
        <f aca="true">IF(A158="","",TODAY()-A158)</f>
        <v/>
      </c>
      <c r="L158" s="11" t="s">
        <v>465</v>
      </c>
      <c r="M158" s="10" t="s">
        <v>308</v>
      </c>
      <c r="N158" s="10" t="s">
        <v>309</v>
      </c>
      <c r="O158" s="10" t="s">
        <v>310</v>
      </c>
      <c r="P158" s="14" t="s">
        <v>311</v>
      </c>
    </row>
    <row r="159" customFormat="false" ht="18" hidden="false" customHeight="true" outlineLevel="0" collapsed="false">
      <c r="A159" s="3"/>
      <c r="B159" s="4" t="str">
        <f aca="false">IF(A159="","",TEXT(A159,"MM-YYYY"))</f>
        <v/>
      </c>
      <c r="C159" s="5" t="s">
        <v>466</v>
      </c>
      <c r="D159" s="4" t="s">
        <v>467</v>
      </c>
      <c r="E159" s="6" t="s">
        <v>305</v>
      </c>
      <c r="F159" s="6" t="s">
        <v>147</v>
      </c>
      <c r="G159" s="5" t="s">
        <v>468</v>
      </c>
      <c r="H159" s="6" t="s">
        <v>22</v>
      </c>
      <c r="I159" s="6"/>
      <c r="J159" s="3"/>
      <c r="K159" s="7" t="str">
        <f aca="true">IF(A159="","",TODAY()-A159)</f>
        <v/>
      </c>
      <c r="L159" s="4" t="s">
        <v>469</v>
      </c>
      <c r="M159" s="5" t="s">
        <v>348</v>
      </c>
      <c r="N159" s="5" t="s">
        <v>368</v>
      </c>
      <c r="O159" s="5" t="s">
        <v>350</v>
      </c>
      <c r="P159" s="8" t="s">
        <v>311</v>
      </c>
    </row>
    <row r="160" customFormat="false" ht="18" hidden="false" customHeight="true" outlineLevel="0" collapsed="false">
      <c r="A160" s="9"/>
      <c r="B160" s="4" t="str">
        <f aca="false">IF(A160="","",TEXT(A160,"MM-YYYY"))</f>
        <v/>
      </c>
      <c r="C160" s="10" t="s">
        <v>470</v>
      </c>
      <c r="D160" s="11" t="s">
        <v>471</v>
      </c>
      <c r="E160" s="12" t="s">
        <v>305</v>
      </c>
      <c r="F160" s="12" t="s">
        <v>147</v>
      </c>
      <c r="G160" s="10" t="s">
        <v>366</v>
      </c>
      <c r="H160" s="6" t="s">
        <v>22</v>
      </c>
      <c r="I160" s="12"/>
      <c r="J160" s="9"/>
      <c r="K160" s="13" t="str">
        <f aca="true">IF(A160="","",TODAY()-A160)</f>
        <v/>
      </c>
      <c r="L160" s="11" t="s">
        <v>472</v>
      </c>
      <c r="M160" s="10" t="s">
        <v>348</v>
      </c>
      <c r="N160" s="10" t="s">
        <v>368</v>
      </c>
      <c r="O160" s="10" t="s">
        <v>350</v>
      </c>
      <c r="P160" s="14" t="s">
        <v>311</v>
      </c>
    </row>
    <row r="161" customFormat="false" ht="18" hidden="false" customHeight="true" outlineLevel="0" collapsed="false">
      <c r="A161" s="3"/>
      <c r="B161" s="4" t="str">
        <f aca="false">IF(A161="","",TEXT(A161,"MM-YYYY"))</f>
        <v/>
      </c>
      <c r="C161" s="5" t="s">
        <v>473</v>
      </c>
      <c r="D161" s="4" t="s">
        <v>474</v>
      </c>
      <c r="E161" s="6" t="s">
        <v>305</v>
      </c>
      <c r="F161" s="6" t="s">
        <v>147</v>
      </c>
      <c r="G161" s="5" t="s">
        <v>382</v>
      </c>
      <c r="H161" s="6" t="s">
        <v>22</v>
      </c>
      <c r="I161" s="6"/>
      <c r="J161" s="3"/>
      <c r="K161" s="7" t="str">
        <f aca="true">IF(A161="","",TODAY()-A161)</f>
        <v/>
      </c>
      <c r="L161" s="4" t="s">
        <v>475</v>
      </c>
      <c r="M161" s="5" t="s">
        <v>308</v>
      </c>
      <c r="N161" s="5" t="s">
        <v>309</v>
      </c>
      <c r="O161" s="5" t="s">
        <v>310</v>
      </c>
      <c r="P161" s="8" t="s">
        <v>311</v>
      </c>
    </row>
    <row r="162" customFormat="false" ht="18" hidden="false" customHeight="true" outlineLevel="0" collapsed="false">
      <c r="A162" s="9"/>
      <c r="B162" s="4" t="str">
        <f aca="false">IF(A162="","",TEXT(A162,"MM-YYYY"))</f>
        <v/>
      </c>
      <c r="C162" s="10" t="s">
        <v>476</v>
      </c>
      <c r="D162" s="11" t="s">
        <v>326</v>
      </c>
      <c r="E162" s="12" t="s">
        <v>305</v>
      </c>
      <c r="F162" s="12" t="s">
        <v>147</v>
      </c>
      <c r="G162" s="10" t="s">
        <v>382</v>
      </c>
      <c r="H162" s="6" t="s">
        <v>22</v>
      </c>
      <c r="I162" s="12"/>
      <c r="J162" s="9"/>
      <c r="K162" s="13" t="str">
        <f aca="true">IF(A162="","",TODAY()-A162)</f>
        <v/>
      </c>
      <c r="L162" s="11" t="s">
        <v>477</v>
      </c>
      <c r="M162" s="10" t="s">
        <v>348</v>
      </c>
      <c r="N162" s="10" t="s">
        <v>349</v>
      </c>
      <c r="O162" s="10" t="s">
        <v>350</v>
      </c>
      <c r="P162" s="14" t="s">
        <v>316</v>
      </c>
    </row>
    <row r="163" customFormat="false" ht="18" hidden="false" customHeight="true" outlineLevel="0" collapsed="false">
      <c r="A163" s="3"/>
      <c r="B163" s="4" t="str">
        <f aca="false">IF(A163="","",TEXT(A163,"MM-YYYY"))</f>
        <v/>
      </c>
      <c r="C163" s="5" t="s">
        <v>478</v>
      </c>
      <c r="D163" s="4" t="s">
        <v>479</v>
      </c>
      <c r="E163" s="6" t="s">
        <v>305</v>
      </c>
      <c r="F163" s="6" t="s">
        <v>147</v>
      </c>
      <c r="G163" s="5" t="s">
        <v>314</v>
      </c>
      <c r="H163" s="6" t="s">
        <v>22</v>
      </c>
      <c r="I163" s="6"/>
      <c r="J163" s="3"/>
      <c r="K163" s="7" t="str">
        <f aca="true">IF(A163="","",TODAY()-A163)</f>
        <v/>
      </c>
      <c r="L163" s="4" t="s">
        <v>480</v>
      </c>
      <c r="M163" s="5" t="s">
        <v>348</v>
      </c>
      <c r="N163" s="5" t="s">
        <v>368</v>
      </c>
      <c r="O163" s="5" t="s">
        <v>350</v>
      </c>
      <c r="P163" s="8" t="s">
        <v>311</v>
      </c>
    </row>
    <row r="164" customFormat="false" ht="18" hidden="false" customHeight="true" outlineLevel="0" collapsed="false">
      <c r="A164" s="9"/>
      <c r="B164" s="4" t="str">
        <f aca="false">IF(A164="","",TEXT(A164,"MM-YYYY"))</f>
        <v/>
      </c>
      <c r="C164" s="10" t="s">
        <v>481</v>
      </c>
      <c r="D164" s="11" t="s">
        <v>482</v>
      </c>
      <c r="E164" s="12" t="s">
        <v>305</v>
      </c>
      <c r="F164" s="12" t="s">
        <v>147</v>
      </c>
      <c r="G164" s="10" t="s">
        <v>483</v>
      </c>
      <c r="H164" s="6" t="s">
        <v>22</v>
      </c>
      <c r="I164" s="12"/>
      <c r="J164" s="9"/>
      <c r="K164" s="13" t="str">
        <f aca="true">IF(A164="","",TODAY()-A164)</f>
        <v/>
      </c>
      <c r="L164" s="11" t="s">
        <v>484</v>
      </c>
      <c r="M164" s="10" t="s">
        <v>308</v>
      </c>
      <c r="N164" s="10" t="s">
        <v>309</v>
      </c>
      <c r="O164" s="10" t="s">
        <v>310</v>
      </c>
      <c r="P164" s="14" t="s">
        <v>336</v>
      </c>
    </row>
    <row r="165" customFormat="false" ht="18" hidden="false" customHeight="true" outlineLevel="0" collapsed="false">
      <c r="A165" s="3"/>
      <c r="B165" s="4" t="str">
        <f aca="false">IF(A165="","",TEXT(A165,"MM-YYYY"))</f>
        <v/>
      </c>
      <c r="C165" s="5" t="s">
        <v>485</v>
      </c>
      <c r="D165" s="4" t="s">
        <v>486</v>
      </c>
      <c r="E165" s="6" t="s">
        <v>305</v>
      </c>
      <c r="F165" s="6" t="s">
        <v>147</v>
      </c>
      <c r="G165" s="5" t="s">
        <v>487</v>
      </c>
      <c r="H165" s="6" t="s">
        <v>22</v>
      </c>
      <c r="I165" s="6"/>
      <c r="J165" s="3"/>
      <c r="K165" s="7" t="str">
        <f aca="true">IF(A165="","",TODAY()-A165)</f>
        <v/>
      </c>
      <c r="L165" s="4" t="s">
        <v>488</v>
      </c>
      <c r="M165" s="5" t="s">
        <v>348</v>
      </c>
      <c r="N165" s="5" t="s">
        <v>368</v>
      </c>
      <c r="O165" s="5" t="s">
        <v>350</v>
      </c>
      <c r="P165" s="8" t="s">
        <v>316</v>
      </c>
    </row>
    <row r="166" customFormat="false" ht="18" hidden="false" customHeight="true" outlineLevel="0" collapsed="false">
      <c r="A166" s="9"/>
      <c r="B166" s="4" t="str">
        <f aca="false">IF(A166="","",TEXT(A166,"MM-YYYY"))</f>
        <v/>
      </c>
      <c r="C166" s="10" t="s">
        <v>489</v>
      </c>
      <c r="D166" s="11" t="s">
        <v>490</v>
      </c>
      <c r="E166" s="12" t="s">
        <v>305</v>
      </c>
      <c r="F166" s="12" t="s">
        <v>147</v>
      </c>
      <c r="G166" s="10" t="s">
        <v>358</v>
      </c>
      <c r="H166" s="6" t="s">
        <v>26</v>
      </c>
      <c r="I166" s="12"/>
      <c r="J166" s="9"/>
      <c r="K166" s="13" t="str">
        <f aca="true">IF(A166="","",TODAY()-A166)</f>
        <v/>
      </c>
      <c r="L166" s="11" t="s">
        <v>491</v>
      </c>
      <c r="M166" s="10" t="s">
        <v>308</v>
      </c>
      <c r="N166" s="10" t="s">
        <v>309</v>
      </c>
      <c r="O166" s="10" t="s">
        <v>310</v>
      </c>
      <c r="P166" s="14" t="s">
        <v>492</v>
      </c>
    </row>
    <row r="167" customFormat="false" ht="18" hidden="false" customHeight="true" outlineLevel="0" collapsed="false">
      <c r="A167" s="3"/>
      <c r="B167" s="4" t="str">
        <f aca="false">IF(A167="","",TEXT(A167,"MM-YYYY"))</f>
        <v/>
      </c>
      <c r="C167" s="5" t="s">
        <v>493</v>
      </c>
      <c r="D167" s="4" t="s">
        <v>494</v>
      </c>
      <c r="E167" s="6" t="s">
        <v>305</v>
      </c>
      <c r="F167" s="6" t="s">
        <v>147</v>
      </c>
      <c r="G167" s="5" t="s">
        <v>495</v>
      </c>
      <c r="H167" s="6" t="s">
        <v>22</v>
      </c>
      <c r="I167" s="6"/>
      <c r="J167" s="3"/>
      <c r="K167" s="7" t="str">
        <f aca="true">IF(A167="","",TODAY()-A167)</f>
        <v/>
      </c>
      <c r="L167" s="4" t="s">
        <v>496</v>
      </c>
      <c r="M167" s="5" t="s">
        <v>308</v>
      </c>
      <c r="N167" s="5" t="s">
        <v>309</v>
      </c>
      <c r="O167" s="5" t="s">
        <v>310</v>
      </c>
      <c r="P167" s="8" t="s">
        <v>316</v>
      </c>
    </row>
    <row r="168" customFormat="false" ht="18" hidden="false" customHeight="true" outlineLevel="0" collapsed="false">
      <c r="A168" s="9"/>
      <c r="B168" s="4" t="str">
        <f aca="false">IF(A168="","",TEXT(A168,"MM-YYYY"))</f>
        <v/>
      </c>
      <c r="C168" s="10" t="s">
        <v>497</v>
      </c>
      <c r="D168" s="11" t="s">
        <v>498</v>
      </c>
      <c r="E168" s="12" t="s">
        <v>305</v>
      </c>
      <c r="F168" s="12" t="s">
        <v>147</v>
      </c>
      <c r="G168" s="10" t="s">
        <v>499</v>
      </c>
      <c r="H168" s="6" t="s">
        <v>22</v>
      </c>
      <c r="I168" s="12"/>
      <c r="J168" s="9"/>
      <c r="K168" s="13" t="str">
        <f aca="true">IF(A168="","",TODAY()-A168)</f>
        <v/>
      </c>
      <c r="L168" s="11" t="s">
        <v>500</v>
      </c>
      <c r="M168" s="10" t="s">
        <v>308</v>
      </c>
      <c r="N168" s="10" t="s">
        <v>309</v>
      </c>
      <c r="O168" s="10" t="s">
        <v>310</v>
      </c>
      <c r="P168" s="14" t="s">
        <v>391</v>
      </c>
    </row>
    <row r="169" customFormat="false" ht="18" hidden="false" customHeight="true" outlineLevel="0" collapsed="false">
      <c r="A169" s="3"/>
      <c r="B169" s="4" t="str">
        <f aca="false">IF(A169="","",TEXT(A169,"MM-YYYY"))</f>
        <v/>
      </c>
      <c r="C169" s="5" t="s">
        <v>501</v>
      </c>
      <c r="D169" s="4" t="s">
        <v>502</v>
      </c>
      <c r="E169" s="6" t="s">
        <v>305</v>
      </c>
      <c r="F169" s="6" t="s">
        <v>147</v>
      </c>
      <c r="G169" s="5" t="s">
        <v>314</v>
      </c>
      <c r="H169" s="6" t="s">
        <v>22</v>
      </c>
      <c r="I169" s="6"/>
      <c r="J169" s="3"/>
      <c r="K169" s="7" t="str">
        <f aca="true">IF(A169="","",TODAY()-A169)</f>
        <v/>
      </c>
      <c r="L169" s="4" t="s">
        <v>503</v>
      </c>
      <c r="M169" s="5" t="s">
        <v>308</v>
      </c>
      <c r="N169" s="5" t="s">
        <v>355</v>
      </c>
      <c r="O169" s="5" t="s">
        <v>310</v>
      </c>
      <c r="P169" s="8" t="s">
        <v>311</v>
      </c>
    </row>
    <row r="170" customFormat="false" ht="18" hidden="false" customHeight="true" outlineLevel="0" collapsed="false">
      <c r="A170" s="9"/>
      <c r="B170" s="4" t="str">
        <f aca="false">IF(A170="","",TEXT(A170,"MM-YYYY"))</f>
        <v/>
      </c>
      <c r="C170" s="10" t="s">
        <v>504</v>
      </c>
      <c r="D170" s="11" t="s">
        <v>505</v>
      </c>
      <c r="E170" s="12" t="s">
        <v>305</v>
      </c>
      <c r="F170" s="12" t="s">
        <v>147</v>
      </c>
      <c r="G170" s="10" t="s">
        <v>506</v>
      </c>
      <c r="H170" s="6" t="s">
        <v>22</v>
      </c>
      <c r="I170" s="12"/>
      <c r="J170" s="9"/>
      <c r="K170" s="13" t="str">
        <f aca="true">IF(A170="","",TODAY()-A170)</f>
        <v/>
      </c>
      <c r="L170" s="11" t="s">
        <v>507</v>
      </c>
      <c r="M170" s="10" t="s">
        <v>308</v>
      </c>
      <c r="N170" s="10" t="s">
        <v>309</v>
      </c>
      <c r="O170" s="10" t="s">
        <v>310</v>
      </c>
      <c r="P170" s="14" t="s">
        <v>311</v>
      </c>
    </row>
    <row r="171" customFormat="false" ht="18" hidden="false" customHeight="true" outlineLevel="0" collapsed="false">
      <c r="A171" s="3"/>
      <c r="B171" s="4" t="str">
        <f aca="false">IF(A171="","",TEXT(A171,"MM-YYYY"))</f>
        <v/>
      </c>
      <c r="C171" s="5" t="s">
        <v>508</v>
      </c>
      <c r="D171" s="4" t="s">
        <v>509</v>
      </c>
      <c r="E171" s="6" t="s">
        <v>305</v>
      </c>
      <c r="F171" s="6" t="s">
        <v>147</v>
      </c>
      <c r="G171" s="5" t="s">
        <v>418</v>
      </c>
      <c r="H171" s="6" t="s">
        <v>22</v>
      </c>
      <c r="I171" s="6"/>
      <c r="J171" s="3"/>
      <c r="K171" s="7" t="str">
        <f aca="true">IF(A171="","",TODAY()-A171)</f>
        <v/>
      </c>
      <c r="L171" s="4" t="s">
        <v>510</v>
      </c>
      <c r="M171" s="5" t="s">
        <v>308</v>
      </c>
      <c r="N171" s="5" t="s">
        <v>309</v>
      </c>
      <c r="O171" s="5" t="s">
        <v>310</v>
      </c>
      <c r="P171" s="8" t="s">
        <v>316</v>
      </c>
    </row>
    <row r="172" customFormat="false" ht="18" hidden="false" customHeight="true" outlineLevel="0" collapsed="false">
      <c r="A172" s="9"/>
      <c r="B172" s="4" t="str">
        <f aca="false">IF(A172="","",TEXT(A172,"MM-YYYY"))</f>
        <v/>
      </c>
      <c r="C172" s="10" t="s">
        <v>511</v>
      </c>
      <c r="D172" s="11" t="s">
        <v>512</v>
      </c>
      <c r="E172" s="12" t="s">
        <v>305</v>
      </c>
      <c r="F172" s="12" t="s">
        <v>147</v>
      </c>
      <c r="G172" s="10" t="s">
        <v>499</v>
      </c>
      <c r="H172" s="6" t="s">
        <v>22</v>
      </c>
      <c r="I172" s="12"/>
      <c r="J172" s="9"/>
      <c r="K172" s="13" t="str">
        <f aca="true">IF(A172="","",TODAY()-A172)</f>
        <v/>
      </c>
      <c r="L172" s="11" t="s">
        <v>513</v>
      </c>
      <c r="M172" s="10" t="s">
        <v>308</v>
      </c>
      <c r="N172" s="10" t="s">
        <v>309</v>
      </c>
      <c r="O172" s="10" t="s">
        <v>310</v>
      </c>
      <c r="P172" s="14" t="s">
        <v>316</v>
      </c>
    </row>
    <row r="173" customFormat="false" ht="18" hidden="false" customHeight="true" outlineLevel="0" collapsed="false">
      <c r="A173" s="3"/>
      <c r="B173" s="4" t="str">
        <f aca="false">IF(A173="","",TEXT(A173,"MM-YYYY"))</f>
        <v/>
      </c>
      <c r="C173" s="5" t="s">
        <v>514</v>
      </c>
      <c r="D173" s="4" t="s">
        <v>515</v>
      </c>
      <c r="E173" s="6" t="s">
        <v>305</v>
      </c>
      <c r="F173" s="6" t="s">
        <v>147</v>
      </c>
      <c r="G173" s="5" t="s">
        <v>516</v>
      </c>
      <c r="H173" s="6" t="s">
        <v>22</v>
      </c>
      <c r="I173" s="6"/>
      <c r="J173" s="3"/>
      <c r="K173" s="7" t="str">
        <f aca="true">IF(A173="","",TODAY()-A173)</f>
        <v/>
      </c>
      <c r="L173" s="4" t="s">
        <v>517</v>
      </c>
      <c r="M173" s="5" t="s">
        <v>308</v>
      </c>
      <c r="N173" s="5" t="s">
        <v>309</v>
      </c>
      <c r="O173" s="5" t="s">
        <v>310</v>
      </c>
      <c r="P173" s="8" t="s">
        <v>316</v>
      </c>
    </row>
    <row r="174" customFormat="false" ht="18" hidden="false" customHeight="true" outlineLevel="0" collapsed="false">
      <c r="A174" s="9"/>
      <c r="B174" s="4" t="str">
        <f aca="false">IF(A174="","",TEXT(A174,"MM-YYYY"))</f>
        <v/>
      </c>
      <c r="C174" s="10" t="s">
        <v>518</v>
      </c>
      <c r="D174" s="11" t="s">
        <v>519</v>
      </c>
      <c r="E174" s="12" t="s">
        <v>305</v>
      </c>
      <c r="F174" s="12" t="s">
        <v>147</v>
      </c>
      <c r="G174" s="10" t="s">
        <v>516</v>
      </c>
      <c r="H174" s="6" t="s">
        <v>22</v>
      </c>
      <c r="I174" s="12"/>
      <c r="J174" s="9"/>
      <c r="K174" s="13" t="str">
        <f aca="true">IF(A174="","",TODAY()-A174)</f>
        <v/>
      </c>
      <c r="L174" s="11" t="s">
        <v>520</v>
      </c>
      <c r="M174" s="10" t="s">
        <v>308</v>
      </c>
      <c r="N174" s="10" t="s">
        <v>309</v>
      </c>
      <c r="O174" s="10" t="s">
        <v>310</v>
      </c>
      <c r="P174" s="14" t="s">
        <v>311</v>
      </c>
    </row>
    <row r="175" customFormat="false" ht="18" hidden="false" customHeight="true" outlineLevel="0" collapsed="false">
      <c r="A175" s="3"/>
      <c r="B175" s="4" t="str">
        <f aca="false">IF(A175="","",TEXT(A175,"MM-YYYY"))</f>
        <v/>
      </c>
      <c r="C175" s="5" t="s">
        <v>521</v>
      </c>
      <c r="D175" s="4" t="s">
        <v>522</v>
      </c>
      <c r="E175" s="6" t="s">
        <v>305</v>
      </c>
      <c r="F175" s="6" t="s">
        <v>147</v>
      </c>
      <c r="G175" s="5" t="s">
        <v>523</v>
      </c>
      <c r="H175" s="6" t="s">
        <v>22</v>
      </c>
      <c r="I175" s="6"/>
      <c r="J175" s="3"/>
      <c r="K175" s="7" t="str">
        <f aca="true">IF(A175="","",TODAY()-A175)</f>
        <v/>
      </c>
      <c r="L175" s="4" t="s">
        <v>524</v>
      </c>
      <c r="M175" s="5" t="s">
        <v>308</v>
      </c>
      <c r="N175" s="5" t="s">
        <v>309</v>
      </c>
      <c r="O175" s="5" t="s">
        <v>310</v>
      </c>
      <c r="P175" s="8" t="s">
        <v>316</v>
      </c>
    </row>
    <row r="176" customFormat="false" ht="18" hidden="false" customHeight="true" outlineLevel="0" collapsed="false">
      <c r="A176" s="9"/>
      <c r="B176" s="4" t="str">
        <f aca="false">IF(A176="","",TEXT(A176,"MM-YYYY"))</f>
        <v/>
      </c>
      <c r="C176" s="10" t="s">
        <v>525</v>
      </c>
      <c r="D176" s="11" t="s">
        <v>526</v>
      </c>
      <c r="E176" s="12" t="s">
        <v>305</v>
      </c>
      <c r="F176" s="12" t="s">
        <v>147</v>
      </c>
      <c r="G176" s="10" t="s">
        <v>306</v>
      </c>
      <c r="H176" s="6" t="s">
        <v>22</v>
      </c>
      <c r="I176" s="12"/>
      <c r="J176" s="9"/>
      <c r="K176" s="13" t="str">
        <f aca="true">IF(A176="","",TODAY()-A176)</f>
        <v/>
      </c>
      <c r="L176" s="11" t="s">
        <v>527</v>
      </c>
      <c r="M176" s="10" t="s">
        <v>308</v>
      </c>
      <c r="N176" s="10" t="s">
        <v>309</v>
      </c>
      <c r="O176" s="10" t="s">
        <v>310</v>
      </c>
      <c r="P176" s="14" t="s">
        <v>391</v>
      </c>
    </row>
    <row r="177" customFormat="false" ht="18" hidden="false" customHeight="true" outlineLevel="0" collapsed="false">
      <c r="A177" s="3"/>
      <c r="B177" s="4" t="str">
        <f aca="false">IF(A177="","",TEXT(A177,"MM-YYYY"))</f>
        <v/>
      </c>
      <c r="C177" s="5" t="s">
        <v>528</v>
      </c>
      <c r="D177" s="4" t="s">
        <v>529</v>
      </c>
      <c r="E177" s="6" t="s">
        <v>305</v>
      </c>
      <c r="F177" s="6" t="s">
        <v>147</v>
      </c>
      <c r="G177" s="5" t="s">
        <v>404</v>
      </c>
      <c r="H177" s="6" t="s">
        <v>22</v>
      </c>
      <c r="I177" s="6"/>
      <c r="J177" s="3"/>
      <c r="K177" s="7" t="str">
        <f aca="true">IF(A177="","",TODAY()-A177)</f>
        <v/>
      </c>
      <c r="L177" s="4" t="s">
        <v>530</v>
      </c>
      <c r="M177" s="5" t="s">
        <v>308</v>
      </c>
      <c r="N177" s="5" t="s">
        <v>309</v>
      </c>
      <c r="O177" s="5" t="s">
        <v>310</v>
      </c>
      <c r="P177" s="8" t="s">
        <v>316</v>
      </c>
    </row>
    <row r="178" customFormat="false" ht="18" hidden="false" customHeight="true" outlineLevel="0" collapsed="false">
      <c r="A178" s="9"/>
      <c r="B178" s="4" t="str">
        <f aca="false">IF(A178="","",TEXT(A178,"MM-YYYY"))</f>
        <v/>
      </c>
      <c r="C178" s="10" t="s">
        <v>531</v>
      </c>
      <c r="D178" s="11" t="s">
        <v>532</v>
      </c>
      <c r="E178" s="12" t="s">
        <v>305</v>
      </c>
      <c r="F178" s="12" t="s">
        <v>147</v>
      </c>
      <c r="G178" s="10" t="s">
        <v>533</v>
      </c>
      <c r="H178" s="6" t="s">
        <v>22</v>
      </c>
      <c r="I178" s="12"/>
      <c r="J178" s="9"/>
      <c r="K178" s="13" t="str">
        <f aca="true">IF(A178="","",TODAY()-A178)</f>
        <v/>
      </c>
      <c r="L178" s="11" t="s">
        <v>534</v>
      </c>
      <c r="M178" s="10" t="s">
        <v>308</v>
      </c>
      <c r="N178" s="10" t="s">
        <v>309</v>
      </c>
      <c r="O178" s="10" t="s">
        <v>310</v>
      </c>
      <c r="P178" s="14" t="s">
        <v>316</v>
      </c>
    </row>
    <row r="179" customFormat="false" ht="18" hidden="false" customHeight="true" outlineLevel="0" collapsed="false">
      <c r="A179" s="3"/>
      <c r="B179" s="4" t="str">
        <f aca="false">IF(A179="","",TEXT(A179,"MM-YYYY"))</f>
        <v/>
      </c>
      <c r="C179" s="5" t="s">
        <v>535</v>
      </c>
      <c r="D179" s="4" t="s">
        <v>536</v>
      </c>
      <c r="E179" s="6" t="s">
        <v>305</v>
      </c>
      <c r="F179" s="6" t="s">
        <v>147</v>
      </c>
      <c r="G179" s="5" t="s">
        <v>537</v>
      </c>
      <c r="H179" s="6" t="s">
        <v>22</v>
      </c>
      <c r="I179" s="6"/>
      <c r="J179" s="3"/>
      <c r="K179" s="7" t="str">
        <f aca="true">IF(A179="","",TODAY()-A179)</f>
        <v/>
      </c>
      <c r="L179" s="4" t="s">
        <v>538</v>
      </c>
      <c r="M179" s="5" t="s">
        <v>308</v>
      </c>
      <c r="N179" s="5" t="s">
        <v>309</v>
      </c>
      <c r="O179" s="5" t="s">
        <v>310</v>
      </c>
      <c r="P179" s="8" t="s">
        <v>316</v>
      </c>
    </row>
    <row r="180" customFormat="false" ht="18" hidden="false" customHeight="true" outlineLevel="0" collapsed="false">
      <c r="A180" s="9"/>
      <c r="B180" s="4" t="str">
        <f aca="false">IF(A180="","",TEXT(A180,"MM-YYYY"))</f>
        <v/>
      </c>
      <c r="C180" s="10" t="s">
        <v>539</v>
      </c>
      <c r="D180" s="11" t="s">
        <v>540</v>
      </c>
      <c r="E180" s="12" t="s">
        <v>305</v>
      </c>
      <c r="F180" s="12" t="s">
        <v>147</v>
      </c>
      <c r="G180" s="10" t="s">
        <v>541</v>
      </c>
      <c r="H180" s="6" t="s">
        <v>22</v>
      </c>
      <c r="I180" s="12"/>
      <c r="J180" s="9"/>
      <c r="K180" s="13" t="str">
        <f aca="true">IF(A180="","",TODAY()-A180)</f>
        <v/>
      </c>
      <c r="L180" s="11" t="s">
        <v>542</v>
      </c>
      <c r="M180" s="10" t="s">
        <v>348</v>
      </c>
      <c r="N180" s="10" t="s">
        <v>368</v>
      </c>
      <c r="O180" s="10" t="s">
        <v>350</v>
      </c>
      <c r="P180" s="14" t="s">
        <v>311</v>
      </c>
    </row>
    <row r="181" customFormat="false" ht="18" hidden="false" customHeight="true" outlineLevel="0" collapsed="false">
      <c r="A181" s="3"/>
      <c r="B181" s="4" t="str">
        <f aca="false">IF(A181="","",TEXT(A181,"MM-YYYY"))</f>
        <v/>
      </c>
      <c r="C181" s="5" t="s">
        <v>543</v>
      </c>
      <c r="D181" s="4" t="s">
        <v>544</v>
      </c>
      <c r="E181" s="6" t="s">
        <v>305</v>
      </c>
      <c r="F181" s="6" t="s">
        <v>147</v>
      </c>
      <c r="G181" s="5" t="s">
        <v>306</v>
      </c>
      <c r="H181" s="6" t="s">
        <v>22</v>
      </c>
      <c r="I181" s="6"/>
      <c r="J181" s="3"/>
      <c r="K181" s="7" t="str">
        <f aca="true">IF(A181="","",TODAY()-A181)</f>
        <v/>
      </c>
      <c r="L181" s="4" t="s">
        <v>545</v>
      </c>
      <c r="M181" s="5" t="s">
        <v>308</v>
      </c>
      <c r="N181" s="5" t="s">
        <v>309</v>
      </c>
      <c r="O181" s="5" t="s">
        <v>310</v>
      </c>
      <c r="P181" s="8" t="s">
        <v>316</v>
      </c>
    </row>
    <row r="182" customFormat="false" ht="18" hidden="false" customHeight="true" outlineLevel="0" collapsed="false">
      <c r="A182" s="9"/>
      <c r="B182" s="4" t="str">
        <f aca="false">IF(A182="","",TEXT(A182,"MM-YYYY"))</f>
        <v/>
      </c>
      <c r="C182" s="10" t="s">
        <v>546</v>
      </c>
      <c r="D182" s="11" t="s">
        <v>547</v>
      </c>
      <c r="E182" s="12" t="s">
        <v>305</v>
      </c>
      <c r="F182" s="12" t="s">
        <v>147</v>
      </c>
      <c r="G182" s="10" t="s">
        <v>516</v>
      </c>
      <c r="H182" s="6" t="s">
        <v>22</v>
      </c>
      <c r="I182" s="12"/>
      <c r="J182" s="9"/>
      <c r="K182" s="13" t="str">
        <f aca="true">IF(A182="","",TODAY()-A182)</f>
        <v/>
      </c>
      <c r="L182" s="11" t="s">
        <v>548</v>
      </c>
      <c r="M182" s="10" t="s">
        <v>308</v>
      </c>
      <c r="N182" s="10" t="s">
        <v>309</v>
      </c>
      <c r="O182" s="10" t="s">
        <v>310</v>
      </c>
      <c r="P182" s="14" t="s">
        <v>316</v>
      </c>
    </row>
    <row r="183" customFormat="false" ht="18" hidden="false" customHeight="true" outlineLevel="0" collapsed="false">
      <c r="A183" s="3"/>
      <c r="B183" s="4" t="str">
        <f aca="false">IF(A183="","",TEXT(A183,"MM-YYYY"))</f>
        <v/>
      </c>
      <c r="C183" s="5" t="s">
        <v>549</v>
      </c>
      <c r="D183" s="4" t="s">
        <v>550</v>
      </c>
      <c r="E183" s="6" t="s">
        <v>305</v>
      </c>
      <c r="F183" s="6" t="s">
        <v>147</v>
      </c>
      <c r="G183" s="5" t="s">
        <v>551</v>
      </c>
      <c r="H183" s="6" t="s">
        <v>22</v>
      </c>
      <c r="I183" s="6"/>
      <c r="J183" s="3"/>
      <c r="K183" s="7" t="str">
        <f aca="true">IF(A183="","",TODAY()-A183)</f>
        <v/>
      </c>
      <c r="L183" s="4" t="s">
        <v>552</v>
      </c>
      <c r="M183" s="5" t="s">
        <v>308</v>
      </c>
      <c r="N183" s="5" t="s">
        <v>309</v>
      </c>
      <c r="O183" s="5" t="s">
        <v>310</v>
      </c>
      <c r="P183" s="8" t="s">
        <v>311</v>
      </c>
    </row>
    <row r="184" customFormat="false" ht="18" hidden="false" customHeight="true" outlineLevel="0" collapsed="false">
      <c r="A184" s="9"/>
      <c r="B184" s="4" t="str">
        <f aca="false">IF(A184="","",TEXT(A184,"MM-YYYY"))</f>
        <v/>
      </c>
      <c r="C184" s="10" t="s">
        <v>553</v>
      </c>
      <c r="D184" s="11" t="s">
        <v>554</v>
      </c>
      <c r="E184" s="12" t="s">
        <v>305</v>
      </c>
      <c r="F184" s="12" t="s">
        <v>147</v>
      </c>
      <c r="G184" s="10" t="s">
        <v>555</v>
      </c>
      <c r="H184" s="6" t="s">
        <v>22</v>
      </c>
      <c r="I184" s="12"/>
      <c r="J184" s="9"/>
      <c r="K184" s="13" t="str">
        <f aca="true">IF(A184="","",TODAY()-A184)</f>
        <v/>
      </c>
      <c r="L184" s="11" t="s">
        <v>556</v>
      </c>
      <c r="M184" s="10" t="s">
        <v>308</v>
      </c>
      <c r="N184" s="10" t="s">
        <v>309</v>
      </c>
      <c r="O184" s="10" t="s">
        <v>310</v>
      </c>
      <c r="P184" s="14" t="s">
        <v>311</v>
      </c>
    </row>
    <row r="185" customFormat="false" ht="18" hidden="false" customHeight="true" outlineLevel="0" collapsed="false">
      <c r="A185" s="3"/>
      <c r="B185" s="4" t="str">
        <f aca="false">IF(A185="","",TEXT(A185,"MM-YYYY"))</f>
        <v/>
      </c>
      <c r="C185" s="5" t="s">
        <v>557</v>
      </c>
      <c r="D185" s="4" t="s">
        <v>558</v>
      </c>
      <c r="E185" s="6" t="s">
        <v>305</v>
      </c>
      <c r="F185" s="6" t="s">
        <v>147</v>
      </c>
      <c r="G185" s="5" t="s">
        <v>366</v>
      </c>
      <c r="H185" s="6" t="s">
        <v>22</v>
      </c>
      <c r="I185" s="6"/>
      <c r="J185" s="3"/>
      <c r="K185" s="7" t="str">
        <f aca="true">IF(A185="","",TODAY()-A185)</f>
        <v/>
      </c>
      <c r="L185" s="4" t="s">
        <v>559</v>
      </c>
      <c r="M185" s="5" t="s">
        <v>348</v>
      </c>
      <c r="N185" s="5" t="s">
        <v>368</v>
      </c>
      <c r="O185" s="5" t="s">
        <v>350</v>
      </c>
      <c r="P185" s="8" t="s">
        <v>311</v>
      </c>
    </row>
    <row r="186" customFormat="false" ht="18" hidden="false" customHeight="true" outlineLevel="0" collapsed="false">
      <c r="A186" s="9"/>
      <c r="B186" s="4" t="str">
        <f aca="false">IF(A186="","",TEXT(A186,"MM-YYYY"))</f>
        <v/>
      </c>
      <c r="C186" s="10" t="s">
        <v>560</v>
      </c>
      <c r="D186" s="11" t="s">
        <v>561</v>
      </c>
      <c r="E186" s="12" t="s">
        <v>305</v>
      </c>
      <c r="F186" s="12" t="s">
        <v>147</v>
      </c>
      <c r="G186" s="10" t="s">
        <v>306</v>
      </c>
      <c r="H186" s="6" t="s">
        <v>22</v>
      </c>
      <c r="I186" s="12"/>
      <c r="J186" s="9"/>
      <c r="K186" s="13" t="str">
        <f aca="true">IF(A186="","",TODAY()-A186)</f>
        <v/>
      </c>
      <c r="L186" s="11" t="s">
        <v>562</v>
      </c>
      <c r="M186" s="10" t="s">
        <v>308</v>
      </c>
      <c r="N186" s="10" t="s">
        <v>309</v>
      </c>
      <c r="O186" s="10" t="s">
        <v>310</v>
      </c>
      <c r="P186" s="14" t="s">
        <v>316</v>
      </c>
    </row>
    <row r="187" customFormat="false" ht="18" hidden="false" customHeight="true" outlineLevel="0" collapsed="false">
      <c r="A187" s="3"/>
      <c r="B187" s="4" t="str">
        <f aca="false">IF(A187="","",TEXT(A187,"MM-YYYY"))</f>
        <v/>
      </c>
      <c r="C187" s="5" t="s">
        <v>563</v>
      </c>
      <c r="D187" s="4" t="s">
        <v>564</v>
      </c>
      <c r="E187" s="6" t="s">
        <v>305</v>
      </c>
      <c r="F187" s="6" t="s">
        <v>147</v>
      </c>
      <c r="G187" s="5" t="s">
        <v>565</v>
      </c>
      <c r="H187" s="6" t="s">
        <v>22</v>
      </c>
      <c r="I187" s="6"/>
      <c r="J187" s="3"/>
      <c r="K187" s="7" t="str">
        <f aca="true">IF(A187="","",TODAY()-A187)</f>
        <v/>
      </c>
      <c r="L187" s="4" t="s">
        <v>566</v>
      </c>
      <c r="M187" s="5" t="s">
        <v>308</v>
      </c>
      <c r="N187" s="5" t="s">
        <v>309</v>
      </c>
      <c r="O187" s="5" t="s">
        <v>310</v>
      </c>
      <c r="P187" s="8" t="s">
        <v>311</v>
      </c>
    </row>
    <row r="188" customFormat="false" ht="18" hidden="false" customHeight="true" outlineLevel="0" collapsed="false">
      <c r="A188" s="9"/>
      <c r="B188" s="4" t="str">
        <f aca="false">IF(A188="","",TEXT(A188,"MM-YYYY"))</f>
        <v/>
      </c>
      <c r="C188" s="10" t="s">
        <v>567</v>
      </c>
      <c r="D188" s="11" t="s">
        <v>568</v>
      </c>
      <c r="E188" s="12" t="s">
        <v>305</v>
      </c>
      <c r="F188" s="12" t="s">
        <v>147</v>
      </c>
      <c r="G188" s="10" t="s">
        <v>569</v>
      </c>
      <c r="H188" s="6" t="s">
        <v>22</v>
      </c>
      <c r="I188" s="12"/>
      <c r="J188" s="9"/>
      <c r="K188" s="13" t="str">
        <f aca="true">IF(A188="","",TODAY()-A188)</f>
        <v/>
      </c>
      <c r="L188" s="11" t="s">
        <v>570</v>
      </c>
      <c r="M188" s="10" t="s">
        <v>308</v>
      </c>
      <c r="N188" s="10" t="s">
        <v>309</v>
      </c>
      <c r="O188" s="10" t="s">
        <v>310</v>
      </c>
      <c r="P188" s="14" t="s">
        <v>311</v>
      </c>
    </row>
    <row r="189" customFormat="false" ht="18" hidden="false" customHeight="true" outlineLevel="0" collapsed="false">
      <c r="A189" s="3"/>
      <c r="B189" s="4" t="str">
        <f aca="false">IF(A189="","",TEXT(A189,"MM-YYYY"))</f>
        <v/>
      </c>
      <c r="C189" s="5" t="s">
        <v>571</v>
      </c>
      <c r="D189" s="4" t="s">
        <v>572</v>
      </c>
      <c r="E189" s="6" t="s">
        <v>305</v>
      </c>
      <c r="F189" s="6" t="s">
        <v>147</v>
      </c>
      <c r="G189" s="5" t="s">
        <v>358</v>
      </c>
      <c r="H189" s="6" t="s">
        <v>22</v>
      </c>
      <c r="I189" s="6"/>
      <c r="J189" s="3"/>
      <c r="K189" s="7" t="str">
        <f aca="true">IF(A189="","",TODAY()-A189)</f>
        <v/>
      </c>
      <c r="L189" s="4" t="s">
        <v>573</v>
      </c>
      <c r="M189" s="5" t="s">
        <v>308</v>
      </c>
      <c r="N189" s="5" t="s">
        <v>309</v>
      </c>
      <c r="O189" s="5" t="s">
        <v>310</v>
      </c>
      <c r="P189" s="8" t="s">
        <v>316</v>
      </c>
    </row>
    <row r="190" customFormat="false" ht="18" hidden="false" customHeight="true" outlineLevel="0" collapsed="false">
      <c r="A190" s="9"/>
      <c r="B190" s="4" t="str">
        <f aca="false">IF(A190="","",TEXT(A190,"MM-YYYY"))</f>
        <v/>
      </c>
      <c r="C190" s="10" t="s">
        <v>574</v>
      </c>
      <c r="D190" s="11" t="s">
        <v>575</v>
      </c>
      <c r="E190" s="12" t="s">
        <v>305</v>
      </c>
      <c r="F190" s="12" t="s">
        <v>147</v>
      </c>
      <c r="G190" s="10" t="s">
        <v>422</v>
      </c>
      <c r="H190" s="6" t="s">
        <v>22</v>
      </c>
      <c r="I190" s="12"/>
      <c r="J190" s="9"/>
      <c r="K190" s="13" t="str">
        <f aca="true">IF(A190="","",TODAY()-A190)</f>
        <v/>
      </c>
      <c r="L190" s="11" t="s">
        <v>576</v>
      </c>
      <c r="M190" s="10" t="s">
        <v>308</v>
      </c>
      <c r="N190" s="10" t="s">
        <v>309</v>
      </c>
      <c r="O190" s="10" t="s">
        <v>310</v>
      </c>
      <c r="P190" s="14" t="s">
        <v>311</v>
      </c>
    </row>
    <row r="191" customFormat="false" ht="18" hidden="false" customHeight="true" outlineLevel="0" collapsed="false">
      <c r="A191" s="3"/>
      <c r="B191" s="4" t="str">
        <f aca="false">IF(A191="","",TEXT(A191,"MM-YYYY"))</f>
        <v/>
      </c>
      <c r="C191" s="5" t="s">
        <v>577</v>
      </c>
      <c r="D191" s="4" t="s">
        <v>578</v>
      </c>
      <c r="E191" s="6" t="s">
        <v>305</v>
      </c>
      <c r="F191" s="6" t="s">
        <v>147</v>
      </c>
      <c r="G191" s="5" t="s">
        <v>374</v>
      </c>
      <c r="H191" s="6" t="s">
        <v>22</v>
      </c>
      <c r="I191" s="6"/>
      <c r="J191" s="3"/>
      <c r="K191" s="7" t="str">
        <f aca="true">IF(A191="","",TODAY()-A191)</f>
        <v/>
      </c>
      <c r="L191" s="4" t="s">
        <v>579</v>
      </c>
      <c r="M191" s="5" t="s">
        <v>308</v>
      </c>
      <c r="N191" s="5" t="s">
        <v>309</v>
      </c>
      <c r="O191" s="5" t="s">
        <v>310</v>
      </c>
      <c r="P191" s="8" t="s">
        <v>580</v>
      </c>
    </row>
    <row r="192" customFormat="false" ht="18" hidden="false" customHeight="true" outlineLevel="0" collapsed="false">
      <c r="A192" s="9"/>
      <c r="B192" s="4" t="str">
        <f aca="false">IF(A192="","",TEXT(A192,"MM-YYYY"))</f>
        <v/>
      </c>
      <c r="C192" s="10" t="s">
        <v>581</v>
      </c>
      <c r="D192" s="11" t="s">
        <v>582</v>
      </c>
      <c r="E192" s="12" t="s">
        <v>305</v>
      </c>
      <c r="F192" s="12" t="s">
        <v>147</v>
      </c>
      <c r="G192" s="10" t="s">
        <v>583</v>
      </c>
      <c r="H192" s="6" t="s">
        <v>26</v>
      </c>
      <c r="I192" s="12"/>
      <c r="J192" s="9"/>
      <c r="K192" s="13" t="str">
        <f aca="true">IF(A192="","",TODAY()-A192)</f>
        <v/>
      </c>
      <c r="L192" s="11" t="s">
        <v>584</v>
      </c>
      <c r="M192" s="10" t="s">
        <v>308</v>
      </c>
      <c r="N192" s="10" t="s">
        <v>309</v>
      </c>
      <c r="O192" s="10" t="s">
        <v>310</v>
      </c>
      <c r="P192" s="14" t="s">
        <v>585</v>
      </c>
    </row>
    <row r="193" customFormat="false" ht="18" hidden="false" customHeight="true" outlineLevel="0" collapsed="false">
      <c r="A193" s="3"/>
      <c r="B193" s="4" t="str">
        <f aca="false">IF(A193="","",TEXT(A193,"MM-YYYY"))</f>
        <v/>
      </c>
      <c r="C193" s="5" t="s">
        <v>586</v>
      </c>
      <c r="D193" s="4" t="s">
        <v>587</v>
      </c>
      <c r="E193" s="6" t="s">
        <v>305</v>
      </c>
      <c r="F193" s="6" t="s">
        <v>147</v>
      </c>
      <c r="G193" s="5" t="s">
        <v>366</v>
      </c>
      <c r="H193" s="6" t="s">
        <v>22</v>
      </c>
      <c r="I193" s="6"/>
      <c r="J193" s="3"/>
      <c r="K193" s="7" t="str">
        <f aca="true">IF(A193="","",TODAY()-A193)</f>
        <v/>
      </c>
      <c r="L193" s="4" t="s">
        <v>588</v>
      </c>
      <c r="M193" s="5" t="s">
        <v>348</v>
      </c>
      <c r="N193" s="5" t="s">
        <v>368</v>
      </c>
      <c r="O193" s="5" t="s">
        <v>350</v>
      </c>
      <c r="P193" s="8" t="s">
        <v>311</v>
      </c>
    </row>
    <row r="194" customFormat="false" ht="18" hidden="false" customHeight="true" outlineLevel="0" collapsed="false">
      <c r="A194" s="9"/>
      <c r="B194" s="4" t="str">
        <f aca="false">IF(A194="","",TEXT(A194,"MM-YYYY"))</f>
        <v/>
      </c>
      <c r="C194" s="10" t="s">
        <v>589</v>
      </c>
      <c r="D194" s="11" t="s">
        <v>313</v>
      </c>
      <c r="E194" s="12" t="s">
        <v>305</v>
      </c>
      <c r="F194" s="12" t="s">
        <v>147</v>
      </c>
      <c r="G194" s="10" t="s">
        <v>590</v>
      </c>
      <c r="H194" s="6" t="s">
        <v>22</v>
      </c>
      <c r="I194" s="12"/>
      <c r="J194" s="9"/>
      <c r="K194" s="13" t="str">
        <f aca="true">IF(A194="","",TODAY()-A194)</f>
        <v/>
      </c>
      <c r="L194" s="11" t="s">
        <v>591</v>
      </c>
      <c r="M194" s="10" t="s">
        <v>308</v>
      </c>
      <c r="N194" s="10" t="s">
        <v>309</v>
      </c>
      <c r="O194" s="10" t="s">
        <v>310</v>
      </c>
      <c r="P194" s="14" t="s">
        <v>391</v>
      </c>
    </row>
    <row r="195" customFormat="false" ht="18" hidden="false" customHeight="true" outlineLevel="0" collapsed="false">
      <c r="A195" s="3"/>
      <c r="B195" s="4" t="str">
        <f aca="false">IF(A195="","",TEXT(A195,"MM-YYYY"))</f>
        <v/>
      </c>
      <c r="C195" s="5" t="s">
        <v>592</v>
      </c>
      <c r="D195" s="4" t="s">
        <v>593</v>
      </c>
      <c r="E195" s="6" t="s">
        <v>305</v>
      </c>
      <c r="F195" s="6" t="s">
        <v>147</v>
      </c>
      <c r="G195" s="5" t="s">
        <v>314</v>
      </c>
      <c r="H195" s="6" t="s">
        <v>22</v>
      </c>
      <c r="I195" s="6"/>
      <c r="J195" s="3"/>
      <c r="K195" s="7" t="str">
        <f aca="true">IF(A195="","",TODAY()-A195)</f>
        <v/>
      </c>
      <c r="L195" s="4" t="s">
        <v>594</v>
      </c>
      <c r="M195" s="5" t="s">
        <v>348</v>
      </c>
      <c r="N195" s="5" t="s">
        <v>368</v>
      </c>
      <c r="O195" s="5" t="s">
        <v>350</v>
      </c>
      <c r="P195" s="8" t="s">
        <v>311</v>
      </c>
    </row>
    <row r="196" customFormat="false" ht="18" hidden="false" customHeight="true" outlineLevel="0" collapsed="false">
      <c r="A196" s="9"/>
      <c r="B196" s="4" t="str">
        <f aca="false">IF(A196="","",TEXT(A196,"MM-YYYY"))</f>
        <v/>
      </c>
      <c r="C196" s="10" t="s">
        <v>595</v>
      </c>
      <c r="D196" s="11" t="s">
        <v>596</v>
      </c>
      <c r="E196" s="12" t="s">
        <v>305</v>
      </c>
      <c r="F196" s="12" t="s">
        <v>147</v>
      </c>
      <c r="G196" s="10" t="s">
        <v>597</v>
      </c>
      <c r="H196" s="6" t="s">
        <v>22</v>
      </c>
      <c r="I196" s="12"/>
      <c r="J196" s="9"/>
      <c r="K196" s="13" t="str">
        <f aca="true">IF(A196="","",TODAY()-A196)</f>
        <v/>
      </c>
      <c r="L196" s="11" t="s">
        <v>598</v>
      </c>
      <c r="M196" s="10" t="s">
        <v>308</v>
      </c>
      <c r="N196" s="10" t="s">
        <v>309</v>
      </c>
      <c r="O196" s="10" t="s">
        <v>310</v>
      </c>
      <c r="P196" s="14" t="s">
        <v>316</v>
      </c>
    </row>
    <row r="197" customFormat="false" ht="18" hidden="false" customHeight="true" outlineLevel="0" collapsed="false">
      <c r="A197" s="3"/>
      <c r="B197" s="4" t="str">
        <f aca="false">IF(A197="","",TEXT(A197,"MM-YYYY"))</f>
        <v/>
      </c>
      <c r="C197" s="5" t="s">
        <v>599</v>
      </c>
      <c r="D197" s="4" t="s">
        <v>600</v>
      </c>
      <c r="E197" s="6" t="s">
        <v>305</v>
      </c>
      <c r="F197" s="6" t="s">
        <v>147</v>
      </c>
      <c r="G197" s="5" t="s">
        <v>601</v>
      </c>
      <c r="H197" s="6" t="s">
        <v>22</v>
      </c>
      <c r="I197" s="6"/>
      <c r="J197" s="3"/>
      <c r="K197" s="7" t="str">
        <f aca="true">IF(A197="","",TODAY()-A197)</f>
        <v/>
      </c>
      <c r="L197" s="4" t="s">
        <v>602</v>
      </c>
      <c r="M197" s="5" t="s">
        <v>308</v>
      </c>
      <c r="N197" s="5" t="s">
        <v>309</v>
      </c>
      <c r="O197" s="5" t="s">
        <v>310</v>
      </c>
      <c r="P197" s="8" t="s">
        <v>316</v>
      </c>
    </row>
    <row r="198" customFormat="false" ht="18" hidden="false" customHeight="true" outlineLevel="0" collapsed="false">
      <c r="A198" s="9"/>
      <c r="B198" s="4" t="str">
        <f aca="false">IF(A198="","",TEXT(A198,"MM-YYYY"))</f>
        <v/>
      </c>
      <c r="C198" s="10" t="s">
        <v>603</v>
      </c>
      <c r="D198" s="11" t="s">
        <v>604</v>
      </c>
      <c r="E198" s="12" t="s">
        <v>305</v>
      </c>
      <c r="F198" s="12" t="s">
        <v>147</v>
      </c>
      <c r="G198" s="10" t="s">
        <v>425</v>
      </c>
      <c r="H198" s="6" t="s">
        <v>22</v>
      </c>
      <c r="I198" s="12"/>
      <c r="J198" s="9"/>
      <c r="K198" s="13" t="str">
        <f aca="true">IF(A198="","",TODAY()-A198)</f>
        <v/>
      </c>
      <c r="L198" s="11" t="s">
        <v>605</v>
      </c>
      <c r="M198" s="10" t="s">
        <v>308</v>
      </c>
      <c r="N198" s="10" t="s">
        <v>309</v>
      </c>
      <c r="O198" s="10" t="s">
        <v>310</v>
      </c>
      <c r="P198" s="14" t="s">
        <v>316</v>
      </c>
    </row>
    <row r="199" customFormat="false" ht="18" hidden="false" customHeight="true" outlineLevel="0" collapsed="false">
      <c r="A199" s="3"/>
      <c r="B199" s="4" t="str">
        <f aca="false">IF(A199="","",TEXT(A199,"MM-YYYY"))</f>
        <v/>
      </c>
      <c r="C199" s="5" t="s">
        <v>606</v>
      </c>
      <c r="D199" s="4" t="s">
        <v>607</v>
      </c>
      <c r="E199" s="6" t="s">
        <v>305</v>
      </c>
      <c r="F199" s="6" t="s">
        <v>147</v>
      </c>
      <c r="G199" s="5" t="s">
        <v>608</v>
      </c>
      <c r="H199" s="6" t="s">
        <v>22</v>
      </c>
      <c r="I199" s="6"/>
      <c r="J199" s="3"/>
      <c r="K199" s="7" t="str">
        <f aca="true">IF(A199="","",TODAY()-A199)</f>
        <v/>
      </c>
      <c r="L199" s="4" t="s">
        <v>609</v>
      </c>
      <c r="M199" s="5" t="s">
        <v>348</v>
      </c>
      <c r="N199" s="5" t="s">
        <v>349</v>
      </c>
      <c r="O199" s="5" t="s">
        <v>350</v>
      </c>
      <c r="P199" s="8" t="s">
        <v>311</v>
      </c>
    </row>
    <row r="200" customFormat="false" ht="18" hidden="false" customHeight="true" outlineLevel="0" collapsed="false">
      <c r="A200" s="9"/>
      <c r="B200" s="4" t="str">
        <f aca="false">IF(A200="","",TEXT(A200,"MM-YYYY"))</f>
        <v/>
      </c>
      <c r="C200" s="10" t="s">
        <v>610</v>
      </c>
      <c r="D200" s="11" t="s">
        <v>611</v>
      </c>
      <c r="E200" s="12" t="s">
        <v>305</v>
      </c>
      <c r="F200" s="12" t="s">
        <v>147</v>
      </c>
      <c r="G200" s="10" t="s">
        <v>404</v>
      </c>
      <c r="H200" s="6" t="s">
        <v>22</v>
      </c>
      <c r="I200" s="12"/>
      <c r="J200" s="9"/>
      <c r="K200" s="13" t="str">
        <f aca="true">IF(A200="","",TODAY()-A200)</f>
        <v/>
      </c>
      <c r="L200" s="11" t="s">
        <v>612</v>
      </c>
      <c r="M200" s="10" t="s">
        <v>308</v>
      </c>
      <c r="N200" s="10" t="s">
        <v>309</v>
      </c>
      <c r="O200" s="10" t="s">
        <v>310</v>
      </c>
      <c r="P200" s="14" t="s">
        <v>311</v>
      </c>
    </row>
    <row r="201" customFormat="false" ht="18" hidden="false" customHeight="true" outlineLevel="0" collapsed="false">
      <c r="A201" s="3"/>
      <c r="B201" s="4" t="str">
        <f aca="false">IF(A201="","",TEXT(A201,"MM-YYYY"))</f>
        <v/>
      </c>
      <c r="C201" s="5" t="s">
        <v>613</v>
      </c>
      <c r="D201" s="4" t="s">
        <v>614</v>
      </c>
      <c r="E201" s="6" t="s">
        <v>305</v>
      </c>
      <c r="F201" s="6" t="s">
        <v>147</v>
      </c>
      <c r="G201" s="5" t="s">
        <v>615</v>
      </c>
      <c r="H201" s="6" t="s">
        <v>22</v>
      </c>
      <c r="I201" s="6"/>
      <c r="J201" s="3"/>
      <c r="K201" s="7" t="str">
        <f aca="true">IF(A201="","",TODAY()-A201)</f>
        <v/>
      </c>
      <c r="L201" s="4" t="s">
        <v>616</v>
      </c>
      <c r="M201" s="5" t="s">
        <v>308</v>
      </c>
      <c r="N201" s="5" t="s">
        <v>309</v>
      </c>
      <c r="O201" s="5" t="s">
        <v>310</v>
      </c>
      <c r="P201" s="8" t="s">
        <v>316</v>
      </c>
    </row>
    <row r="202" customFormat="false" ht="18" hidden="false" customHeight="true" outlineLevel="0" collapsed="false">
      <c r="A202" s="9"/>
      <c r="B202" s="4" t="str">
        <f aca="false">IF(A202="","",TEXT(A202,"MM-YYYY"))</f>
        <v/>
      </c>
      <c r="C202" s="10" t="s">
        <v>617</v>
      </c>
      <c r="D202" s="11" t="s">
        <v>618</v>
      </c>
      <c r="E202" s="12" t="s">
        <v>305</v>
      </c>
      <c r="F202" s="12" t="s">
        <v>147</v>
      </c>
      <c r="G202" s="10" t="s">
        <v>358</v>
      </c>
      <c r="H202" s="6" t="s">
        <v>22</v>
      </c>
      <c r="I202" s="12"/>
      <c r="J202" s="9"/>
      <c r="K202" s="13" t="str">
        <f aca="true">IF(A202="","",TODAY()-A202)</f>
        <v/>
      </c>
      <c r="L202" s="11" t="s">
        <v>619</v>
      </c>
      <c r="M202" s="10" t="s">
        <v>308</v>
      </c>
      <c r="N202" s="10" t="s">
        <v>309</v>
      </c>
      <c r="O202" s="10" t="s">
        <v>310</v>
      </c>
      <c r="P202" s="14" t="s">
        <v>316</v>
      </c>
    </row>
    <row r="203" customFormat="false" ht="18" hidden="false" customHeight="true" outlineLevel="0" collapsed="false">
      <c r="A203" s="3"/>
      <c r="B203" s="4" t="str">
        <f aca="false">IF(A203="","",TEXT(A203,"MM-YYYY"))</f>
        <v/>
      </c>
      <c r="C203" s="5" t="s">
        <v>620</v>
      </c>
      <c r="D203" s="4" t="s">
        <v>621</v>
      </c>
      <c r="E203" s="6" t="s">
        <v>305</v>
      </c>
      <c r="F203" s="6" t="s">
        <v>147</v>
      </c>
      <c r="G203" s="5" t="s">
        <v>601</v>
      </c>
      <c r="H203" s="6" t="s">
        <v>22</v>
      </c>
      <c r="I203" s="6"/>
      <c r="J203" s="3"/>
      <c r="K203" s="7" t="str">
        <f aca="true">IF(A203="","",TODAY()-A203)</f>
        <v/>
      </c>
      <c r="L203" s="4" t="s">
        <v>622</v>
      </c>
      <c r="M203" s="5" t="s">
        <v>308</v>
      </c>
      <c r="N203" s="5" t="s">
        <v>309</v>
      </c>
      <c r="O203" s="5" t="s">
        <v>310</v>
      </c>
      <c r="P203" s="8" t="s">
        <v>311</v>
      </c>
    </row>
    <row r="204" customFormat="false" ht="18" hidden="false" customHeight="true" outlineLevel="0" collapsed="false">
      <c r="A204" s="9"/>
      <c r="B204" s="4" t="str">
        <f aca="false">IF(A204="","",TEXT(A204,"MM-YYYY"))</f>
        <v/>
      </c>
      <c r="C204" s="10" t="s">
        <v>623</v>
      </c>
      <c r="D204" s="11" t="s">
        <v>624</v>
      </c>
      <c r="E204" s="12" t="s">
        <v>305</v>
      </c>
      <c r="F204" s="12" t="s">
        <v>147</v>
      </c>
      <c r="G204" s="10" t="s">
        <v>319</v>
      </c>
      <c r="H204" s="6" t="s">
        <v>22</v>
      </c>
      <c r="I204" s="12"/>
      <c r="J204" s="9"/>
      <c r="K204" s="13" t="str">
        <f aca="true">IF(A204="","",TODAY()-A204)</f>
        <v/>
      </c>
      <c r="L204" s="11" t="s">
        <v>625</v>
      </c>
      <c r="M204" s="10" t="s">
        <v>308</v>
      </c>
      <c r="N204" s="10" t="s">
        <v>309</v>
      </c>
      <c r="O204" s="10" t="s">
        <v>310</v>
      </c>
      <c r="P204" s="14" t="s">
        <v>311</v>
      </c>
    </row>
    <row r="205" customFormat="false" ht="18" hidden="false" customHeight="true" outlineLevel="0" collapsed="false">
      <c r="A205" s="3"/>
      <c r="B205" s="4" t="str">
        <f aca="false">IF(A205="","",TEXT(A205,"MM-YYYY"))</f>
        <v/>
      </c>
      <c r="C205" s="5" t="s">
        <v>626</v>
      </c>
      <c r="D205" s="4" t="s">
        <v>627</v>
      </c>
      <c r="E205" s="6" t="s">
        <v>305</v>
      </c>
      <c r="F205" s="6" t="s">
        <v>147</v>
      </c>
      <c r="G205" s="5" t="s">
        <v>516</v>
      </c>
      <c r="H205" s="6" t="s">
        <v>22</v>
      </c>
      <c r="I205" s="6"/>
      <c r="J205" s="3"/>
      <c r="K205" s="7" t="str">
        <f aca="true">IF(A205="","",TODAY()-A205)</f>
        <v/>
      </c>
      <c r="L205" s="4" t="s">
        <v>628</v>
      </c>
      <c r="M205" s="5" t="s">
        <v>308</v>
      </c>
      <c r="N205" s="5" t="s">
        <v>309</v>
      </c>
      <c r="O205" s="5" t="s">
        <v>310</v>
      </c>
      <c r="P205" s="8" t="s">
        <v>316</v>
      </c>
    </row>
    <row r="206" customFormat="false" ht="18" hidden="false" customHeight="true" outlineLevel="0" collapsed="false">
      <c r="A206" s="9"/>
      <c r="B206" s="4" t="str">
        <f aca="false">IF(A206="","",TEXT(A206,"MM-YYYY"))</f>
        <v/>
      </c>
      <c r="C206" s="10" t="s">
        <v>629</v>
      </c>
      <c r="D206" s="11" t="s">
        <v>630</v>
      </c>
      <c r="E206" s="12" t="s">
        <v>305</v>
      </c>
      <c r="F206" s="12" t="s">
        <v>147</v>
      </c>
      <c r="G206" s="10" t="s">
        <v>499</v>
      </c>
      <c r="H206" s="6" t="s">
        <v>22</v>
      </c>
      <c r="I206" s="12"/>
      <c r="J206" s="9"/>
      <c r="K206" s="13" t="str">
        <f aca="true">IF(A206="","",TODAY()-A206)</f>
        <v/>
      </c>
      <c r="L206" s="11" t="s">
        <v>631</v>
      </c>
      <c r="M206" s="10" t="s">
        <v>308</v>
      </c>
      <c r="N206" s="10" t="s">
        <v>309</v>
      </c>
      <c r="O206" s="10" t="s">
        <v>310</v>
      </c>
      <c r="P206" s="14" t="s">
        <v>316</v>
      </c>
    </row>
    <row r="207" customFormat="false" ht="18" hidden="false" customHeight="true" outlineLevel="0" collapsed="false">
      <c r="A207" s="3"/>
      <c r="B207" s="4" t="str">
        <f aca="false">IF(A207="","",TEXT(A207,"MM-YYYY"))</f>
        <v/>
      </c>
      <c r="C207" s="5" t="s">
        <v>632</v>
      </c>
      <c r="D207" s="4" t="s">
        <v>633</v>
      </c>
      <c r="E207" s="6" t="s">
        <v>305</v>
      </c>
      <c r="F207" s="6" t="s">
        <v>147</v>
      </c>
      <c r="G207" s="5" t="s">
        <v>404</v>
      </c>
      <c r="H207" s="6" t="s">
        <v>22</v>
      </c>
      <c r="I207" s="6"/>
      <c r="J207" s="3"/>
      <c r="K207" s="7" t="str">
        <f aca="true">IF(A207="","",TODAY()-A207)</f>
        <v/>
      </c>
      <c r="L207" s="4" t="s">
        <v>634</v>
      </c>
      <c r="M207" s="5" t="s">
        <v>308</v>
      </c>
      <c r="N207" s="5" t="s">
        <v>309</v>
      </c>
      <c r="O207" s="5" t="s">
        <v>310</v>
      </c>
      <c r="P207" s="8" t="s">
        <v>311</v>
      </c>
    </row>
    <row r="208" customFormat="false" ht="18" hidden="false" customHeight="true" outlineLevel="0" collapsed="false">
      <c r="A208" s="9"/>
      <c r="B208" s="4" t="str">
        <f aca="false">IF(A208="","",TEXT(A208,"MM-YYYY"))</f>
        <v/>
      </c>
      <c r="C208" s="10" t="s">
        <v>635</v>
      </c>
      <c r="D208" s="11" t="s">
        <v>326</v>
      </c>
      <c r="E208" s="12" t="s">
        <v>305</v>
      </c>
      <c r="F208" s="12" t="s">
        <v>147</v>
      </c>
      <c r="G208" s="10" t="s">
        <v>636</v>
      </c>
      <c r="H208" s="6" t="s">
        <v>22</v>
      </c>
      <c r="I208" s="12"/>
      <c r="J208" s="9"/>
      <c r="K208" s="13" t="str">
        <f aca="true">IF(A208="","",TODAY()-A208)</f>
        <v/>
      </c>
      <c r="L208" s="11" t="s">
        <v>637</v>
      </c>
      <c r="M208" s="10" t="s">
        <v>308</v>
      </c>
      <c r="N208" s="10" t="s">
        <v>309</v>
      </c>
      <c r="O208" s="10" t="s">
        <v>310</v>
      </c>
      <c r="P208" s="14" t="s">
        <v>316</v>
      </c>
    </row>
    <row r="209" customFormat="false" ht="18" hidden="false" customHeight="true" outlineLevel="0" collapsed="false">
      <c r="A209" s="3"/>
      <c r="B209" s="4" t="str">
        <f aca="false">IF(A209="","",TEXT(A209,"MM-YYYY"))</f>
        <v/>
      </c>
      <c r="C209" s="5" t="s">
        <v>638</v>
      </c>
      <c r="D209" s="4" t="s">
        <v>639</v>
      </c>
      <c r="E209" s="6" t="s">
        <v>305</v>
      </c>
      <c r="F209" s="6" t="s">
        <v>147</v>
      </c>
      <c r="G209" s="5" t="s">
        <v>640</v>
      </c>
      <c r="H209" s="6" t="s">
        <v>22</v>
      </c>
      <c r="I209" s="6"/>
      <c r="J209" s="3"/>
      <c r="K209" s="7" t="str">
        <f aca="true">IF(A209="","",TODAY()-A209)</f>
        <v/>
      </c>
      <c r="L209" s="4" t="s">
        <v>641</v>
      </c>
      <c r="M209" s="5" t="s">
        <v>308</v>
      </c>
      <c r="N209" s="5" t="s">
        <v>309</v>
      </c>
      <c r="O209" s="5" t="s">
        <v>310</v>
      </c>
      <c r="P209" s="8" t="s">
        <v>311</v>
      </c>
    </row>
    <row r="210" customFormat="false" ht="18" hidden="false" customHeight="true" outlineLevel="0" collapsed="false">
      <c r="A210" s="9"/>
      <c r="B210" s="4" t="str">
        <f aca="false">IF(A210="","",TEXT(A210,"MM-YYYY"))</f>
        <v/>
      </c>
      <c r="C210" s="10" t="s">
        <v>642</v>
      </c>
      <c r="D210" s="11" t="s">
        <v>643</v>
      </c>
      <c r="E210" s="12" t="s">
        <v>305</v>
      </c>
      <c r="F210" s="12" t="s">
        <v>147</v>
      </c>
      <c r="G210" s="10" t="s">
        <v>306</v>
      </c>
      <c r="H210" s="6" t="s">
        <v>22</v>
      </c>
      <c r="I210" s="12"/>
      <c r="J210" s="9"/>
      <c r="K210" s="13" t="str">
        <f aca="true">IF(A210="","",TODAY()-A210)</f>
        <v/>
      </c>
      <c r="L210" s="11" t="s">
        <v>644</v>
      </c>
      <c r="M210" s="10" t="s">
        <v>308</v>
      </c>
      <c r="N210" s="10" t="s">
        <v>309</v>
      </c>
      <c r="O210" s="10" t="s">
        <v>310</v>
      </c>
      <c r="P210" s="14" t="s">
        <v>316</v>
      </c>
    </row>
    <row r="211" customFormat="false" ht="18" hidden="false" customHeight="true" outlineLevel="0" collapsed="false">
      <c r="A211" s="3"/>
      <c r="B211" s="4" t="str">
        <f aca="false">IF(A211="","",TEXT(A211,"MM-YYYY"))</f>
        <v/>
      </c>
      <c r="C211" s="5" t="s">
        <v>645</v>
      </c>
      <c r="D211" s="4" t="s">
        <v>646</v>
      </c>
      <c r="E211" s="6" t="s">
        <v>305</v>
      </c>
      <c r="F211" s="6" t="s">
        <v>147</v>
      </c>
      <c r="G211" s="5" t="s">
        <v>647</v>
      </c>
      <c r="H211" s="6" t="s">
        <v>22</v>
      </c>
      <c r="I211" s="6"/>
      <c r="J211" s="3"/>
      <c r="K211" s="7" t="str">
        <f aca="true">IF(A211="","",TODAY()-A211)</f>
        <v/>
      </c>
      <c r="L211" s="4" t="s">
        <v>648</v>
      </c>
      <c r="M211" s="5" t="s">
        <v>308</v>
      </c>
      <c r="N211" s="5" t="s">
        <v>309</v>
      </c>
      <c r="O211" s="5" t="s">
        <v>310</v>
      </c>
      <c r="P211" s="8" t="s">
        <v>316</v>
      </c>
    </row>
    <row r="212" customFormat="false" ht="18" hidden="false" customHeight="true" outlineLevel="0" collapsed="false">
      <c r="A212" s="9"/>
      <c r="B212" s="4" t="str">
        <f aca="false">IF(A212="","",TEXT(A212,"MM-YYYY"))</f>
        <v/>
      </c>
      <c r="C212" s="10" t="s">
        <v>649</v>
      </c>
      <c r="D212" s="11" t="s">
        <v>650</v>
      </c>
      <c r="E212" s="12" t="s">
        <v>305</v>
      </c>
      <c r="F212" s="12" t="s">
        <v>147</v>
      </c>
      <c r="G212" s="10" t="s">
        <v>422</v>
      </c>
      <c r="H212" s="6" t="s">
        <v>22</v>
      </c>
      <c r="I212" s="12"/>
      <c r="J212" s="9"/>
      <c r="K212" s="13" t="str">
        <f aca="true">IF(A212="","",TODAY()-A212)</f>
        <v/>
      </c>
      <c r="L212" s="11" t="s">
        <v>651</v>
      </c>
      <c r="M212" s="10" t="s">
        <v>308</v>
      </c>
      <c r="N212" s="10" t="s">
        <v>309</v>
      </c>
      <c r="O212" s="10" t="s">
        <v>310</v>
      </c>
      <c r="P212" s="14" t="s">
        <v>311</v>
      </c>
    </row>
    <row r="213" customFormat="false" ht="18" hidden="false" customHeight="true" outlineLevel="0" collapsed="false">
      <c r="A213" s="3"/>
      <c r="B213" s="4" t="str">
        <f aca="false">IF(A213="","",TEXT(A213,"MM-YYYY"))</f>
        <v/>
      </c>
      <c r="C213" s="5" t="s">
        <v>652</v>
      </c>
      <c r="D213" s="4" t="s">
        <v>653</v>
      </c>
      <c r="E213" s="6" t="s">
        <v>305</v>
      </c>
      <c r="F213" s="6" t="s">
        <v>147</v>
      </c>
      <c r="G213" s="5" t="s">
        <v>418</v>
      </c>
      <c r="H213" s="6" t="s">
        <v>22</v>
      </c>
      <c r="I213" s="6"/>
      <c r="J213" s="3"/>
      <c r="K213" s="7" t="str">
        <f aca="true">IF(A213="","",TODAY()-A213)</f>
        <v/>
      </c>
      <c r="L213" s="4" t="s">
        <v>654</v>
      </c>
      <c r="M213" s="5" t="s">
        <v>308</v>
      </c>
      <c r="N213" s="5" t="s">
        <v>309</v>
      </c>
      <c r="O213" s="5" t="s">
        <v>310</v>
      </c>
      <c r="P213" s="8" t="s">
        <v>311</v>
      </c>
    </row>
    <row r="214" customFormat="false" ht="18" hidden="false" customHeight="true" outlineLevel="0" collapsed="false">
      <c r="A214" s="9"/>
      <c r="B214" s="4" t="str">
        <f aca="false">IF(A214="","",TEXT(A214,"MM-YYYY"))</f>
        <v/>
      </c>
      <c r="C214" s="10" t="s">
        <v>655</v>
      </c>
      <c r="D214" s="11" t="s">
        <v>656</v>
      </c>
      <c r="E214" s="12" t="s">
        <v>305</v>
      </c>
      <c r="F214" s="12" t="s">
        <v>147</v>
      </c>
      <c r="G214" s="10" t="s">
        <v>306</v>
      </c>
      <c r="H214" s="6" t="s">
        <v>22</v>
      </c>
      <c r="I214" s="12"/>
      <c r="J214" s="9"/>
      <c r="K214" s="13" t="str">
        <f aca="true">IF(A214="","",TODAY()-A214)</f>
        <v/>
      </c>
      <c r="L214" s="11" t="s">
        <v>657</v>
      </c>
      <c r="M214" s="10" t="s">
        <v>308</v>
      </c>
      <c r="N214" s="10" t="s">
        <v>309</v>
      </c>
      <c r="O214" s="10" t="s">
        <v>310</v>
      </c>
      <c r="P214" s="14" t="s">
        <v>316</v>
      </c>
    </row>
    <row r="215" customFormat="false" ht="18" hidden="false" customHeight="true" outlineLevel="0" collapsed="false">
      <c r="A215" s="3"/>
      <c r="B215" s="4" t="str">
        <f aca="false">IF(A215="","",TEXT(A215,"MM-YYYY"))</f>
        <v/>
      </c>
      <c r="C215" s="5" t="s">
        <v>658</v>
      </c>
      <c r="D215" s="4" t="s">
        <v>659</v>
      </c>
      <c r="E215" s="6" t="s">
        <v>305</v>
      </c>
      <c r="F215" s="6" t="s">
        <v>147</v>
      </c>
      <c r="G215" s="5" t="s">
        <v>660</v>
      </c>
      <c r="H215" s="6" t="s">
        <v>22</v>
      </c>
      <c r="I215" s="6"/>
      <c r="J215" s="3"/>
      <c r="K215" s="7" t="str">
        <f aca="true">IF(A215="","",TODAY()-A215)</f>
        <v/>
      </c>
      <c r="L215" s="4" t="s">
        <v>661</v>
      </c>
      <c r="M215" s="5" t="s">
        <v>308</v>
      </c>
      <c r="N215" s="5" t="s">
        <v>309</v>
      </c>
      <c r="O215" s="5" t="s">
        <v>310</v>
      </c>
      <c r="P215" s="8" t="s">
        <v>316</v>
      </c>
    </row>
    <row r="216" customFormat="false" ht="18" hidden="false" customHeight="true" outlineLevel="0" collapsed="false">
      <c r="A216" s="9"/>
      <c r="B216" s="4" t="str">
        <f aca="false">IF(A216="","",TEXT(A216,"MM-YYYY"))</f>
        <v/>
      </c>
      <c r="C216" s="10" t="s">
        <v>662</v>
      </c>
      <c r="D216" s="11" t="s">
        <v>663</v>
      </c>
      <c r="E216" s="12" t="s">
        <v>305</v>
      </c>
      <c r="F216" s="12" t="s">
        <v>203</v>
      </c>
      <c r="G216" s="10" t="s">
        <v>551</v>
      </c>
      <c r="H216" s="6" t="s">
        <v>22</v>
      </c>
      <c r="I216" s="12"/>
      <c r="J216" s="9"/>
      <c r="K216" s="13" t="str">
        <f aca="true">IF(A216="","",TODAY()-A216)</f>
        <v/>
      </c>
      <c r="L216" s="11" t="s">
        <v>664</v>
      </c>
      <c r="M216" s="10" t="s">
        <v>308</v>
      </c>
      <c r="N216" s="10" t="s">
        <v>309</v>
      </c>
      <c r="O216" s="10" t="s">
        <v>310</v>
      </c>
      <c r="P216" s="14" t="s">
        <v>316</v>
      </c>
    </row>
    <row r="217" customFormat="false" ht="18" hidden="false" customHeight="true" outlineLevel="0" collapsed="false">
      <c r="A217" s="3"/>
      <c r="B217" s="4" t="str">
        <f aca="false">IF(A217="","",TEXT(A217,"MM-YYYY"))</f>
        <v/>
      </c>
      <c r="C217" s="5" t="s">
        <v>665</v>
      </c>
      <c r="D217" s="4" t="s">
        <v>666</v>
      </c>
      <c r="E217" s="6" t="s">
        <v>305</v>
      </c>
      <c r="F217" s="6" t="s">
        <v>203</v>
      </c>
      <c r="G217" s="5" t="s">
        <v>425</v>
      </c>
      <c r="H217" s="6" t="s">
        <v>22</v>
      </c>
      <c r="I217" s="6"/>
      <c r="J217" s="3"/>
      <c r="K217" s="7" t="str">
        <f aca="true">IF(A217="","",TODAY()-A217)</f>
        <v/>
      </c>
      <c r="L217" s="4" t="s">
        <v>667</v>
      </c>
      <c r="M217" s="5" t="s">
        <v>308</v>
      </c>
      <c r="N217" s="5" t="s">
        <v>309</v>
      </c>
      <c r="O217" s="5" t="s">
        <v>310</v>
      </c>
      <c r="P217" s="8" t="s">
        <v>316</v>
      </c>
    </row>
    <row r="218" customFormat="false" ht="18" hidden="false" customHeight="true" outlineLevel="0" collapsed="false">
      <c r="A218" s="9"/>
      <c r="B218" s="4" t="str">
        <f aca="false">IF(A218="","",TEXT(A218,"MM-YYYY"))</f>
        <v/>
      </c>
      <c r="C218" s="10" t="s">
        <v>668</v>
      </c>
      <c r="D218" s="11" t="s">
        <v>669</v>
      </c>
      <c r="E218" s="12" t="s">
        <v>305</v>
      </c>
      <c r="F218" s="12" t="s">
        <v>203</v>
      </c>
      <c r="G218" s="10" t="s">
        <v>358</v>
      </c>
      <c r="H218" s="6" t="s">
        <v>22</v>
      </c>
      <c r="I218" s="12"/>
      <c r="J218" s="9"/>
      <c r="K218" s="13" t="str">
        <f aca="true">IF(A218="","",TODAY()-A218)</f>
        <v/>
      </c>
      <c r="L218" s="11" t="s">
        <v>670</v>
      </c>
      <c r="M218" s="10" t="s">
        <v>308</v>
      </c>
      <c r="N218" s="10" t="s">
        <v>309</v>
      </c>
      <c r="O218" s="10" t="s">
        <v>310</v>
      </c>
      <c r="P218" s="14" t="s">
        <v>316</v>
      </c>
    </row>
    <row r="219" customFormat="false" ht="18" hidden="false" customHeight="true" outlineLevel="0" collapsed="false">
      <c r="A219" s="3"/>
      <c r="B219" s="4" t="str">
        <f aca="false">IF(A219="","",TEXT(A219,"MM-YYYY"))</f>
        <v/>
      </c>
      <c r="C219" s="5" t="s">
        <v>671</v>
      </c>
      <c r="D219" s="4" t="s">
        <v>672</v>
      </c>
      <c r="E219" s="6" t="s">
        <v>305</v>
      </c>
      <c r="F219" s="6" t="s">
        <v>203</v>
      </c>
      <c r="G219" s="5" t="s">
        <v>523</v>
      </c>
      <c r="H219" s="6" t="s">
        <v>22</v>
      </c>
      <c r="I219" s="6"/>
      <c r="J219" s="3"/>
      <c r="K219" s="7" t="str">
        <f aca="true">IF(A219="","",TODAY()-A219)</f>
        <v/>
      </c>
      <c r="L219" s="4" t="s">
        <v>673</v>
      </c>
      <c r="M219" s="5" t="s">
        <v>308</v>
      </c>
      <c r="N219" s="5" t="s">
        <v>309</v>
      </c>
      <c r="O219" s="5" t="s">
        <v>310</v>
      </c>
      <c r="P219" s="8" t="s">
        <v>674</v>
      </c>
    </row>
    <row r="220" customFormat="false" ht="18" hidden="false" customHeight="true" outlineLevel="0" collapsed="false">
      <c r="A220" s="9"/>
      <c r="B220" s="4" t="str">
        <f aca="false">IF(A220="","",TEXT(A220,"MM-YYYY"))</f>
        <v/>
      </c>
      <c r="C220" s="10" t="s">
        <v>675</v>
      </c>
      <c r="D220" s="11" t="s">
        <v>676</v>
      </c>
      <c r="E220" s="12" t="s">
        <v>305</v>
      </c>
      <c r="F220" s="12" t="s">
        <v>203</v>
      </c>
      <c r="G220" s="10" t="s">
        <v>601</v>
      </c>
      <c r="H220" s="6" t="s">
        <v>26</v>
      </c>
      <c r="I220" s="12"/>
      <c r="J220" s="9"/>
      <c r="K220" s="13" t="str">
        <f aca="true">IF(A220="","",TODAY()-A220)</f>
        <v/>
      </c>
      <c r="L220" s="11" t="s">
        <v>677</v>
      </c>
      <c r="M220" s="10" t="s">
        <v>308</v>
      </c>
      <c r="N220" s="10" t="s">
        <v>309</v>
      </c>
      <c r="O220" s="10" t="s">
        <v>310</v>
      </c>
      <c r="P220" s="14" t="s">
        <v>678</v>
      </c>
    </row>
    <row r="221" customFormat="false" ht="18" hidden="false" customHeight="true" outlineLevel="0" collapsed="false">
      <c r="A221" s="3"/>
      <c r="B221" s="4" t="str">
        <f aca="false">IF(A221="","",TEXT(A221,"MM-YYYY"))</f>
        <v/>
      </c>
      <c r="C221" s="5" t="s">
        <v>679</v>
      </c>
      <c r="D221" s="4" t="s">
        <v>680</v>
      </c>
      <c r="E221" s="6" t="s">
        <v>305</v>
      </c>
      <c r="F221" s="6" t="s">
        <v>203</v>
      </c>
      <c r="G221" s="5" t="s">
        <v>319</v>
      </c>
      <c r="H221" s="6" t="s">
        <v>22</v>
      </c>
      <c r="I221" s="6"/>
      <c r="J221" s="3"/>
      <c r="K221" s="7" t="str">
        <f aca="true">IF(A221="","",TODAY()-A221)</f>
        <v/>
      </c>
      <c r="L221" s="4" t="s">
        <v>681</v>
      </c>
      <c r="M221" s="5" t="s">
        <v>308</v>
      </c>
      <c r="N221" s="5" t="s">
        <v>309</v>
      </c>
      <c r="O221" s="5" t="s">
        <v>310</v>
      </c>
      <c r="P221" s="8" t="s">
        <v>682</v>
      </c>
    </row>
    <row r="222" customFormat="false" ht="18" hidden="false" customHeight="true" outlineLevel="0" collapsed="false">
      <c r="A222" s="9"/>
      <c r="B222" s="4" t="str">
        <f aca="false">IF(A222="","",TEXT(A222,"MM-YYYY"))</f>
        <v/>
      </c>
      <c r="C222" s="10" t="s">
        <v>683</v>
      </c>
      <c r="D222" s="11" t="s">
        <v>684</v>
      </c>
      <c r="E222" s="12" t="s">
        <v>305</v>
      </c>
      <c r="F222" s="12" t="s">
        <v>203</v>
      </c>
      <c r="G222" s="10" t="s">
        <v>306</v>
      </c>
      <c r="H222" s="6" t="s">
        <v>26</v>
      </c>
      <c r="I222" s="12"/>
      <c r="J222" s="9"/>
      <c r="K222" s="13" t="str">
        <f aca="true">IF(A222="","",TODAY()-A222)</f>
        <v/>
      </c>
      <c r="L222" s="11" t="s">
        <v>685</v>
      </c>
      <c r="M222" s="10" t="s">
        <v>308</v>
      </c>
      <c r="N222" s="10" t="s">
        <v>309</v>
      </c>
      <c r="O222" s="10" t="s">
        <v>310</v>
      </c>
      <c r="P222" s="14" t="s">
        <v>585</v>
      </c>
    </row>
    <row r="223" customFormat="false" ht="18" hidden="false" customHeight="true" outlineLevel="0" collapsed="false">
      <c r="A223" s="3"/>
      <c r="B223" s="4" t="str">
        <f aca="false">IF(A223="","",TEXT(A223,"MM-YYYY"))</f>
        <v/>
      </c>
      <c r="C223" s="5" t="s">
        <v>686</v>
      </c>
      <c r="D223" s="4" t="s">
        <v>687</v>
      </c>
      <c r="E223" s="6" t="s">
        <v>305</v>
      </c>
      <c r="F223" s="6" t="s">
        <v>203</v>
      </c>
      <c r="G223" s="5" t="s">
        <v>306</v>
      </c>
      <c r="H223" s="6" t="s">
        <v>22</v>
      </c>
      <c r="I223" s="6"/>
      <c r="J223" s="3"/>
      <c r="K223" s="7" t="str">
        <f aca="true">IF(A223="","",TODAY()-A223)</f>
        <v/>
      </c>
      <c r="L223" s="4" t="s">
        <v>688</v>
      </c>
      <c r="M223" s="5" t="s">
        <v>308</v>
      </c>
      <c r="N223" s="5" t="s">
        <v>309</v>
      </c>
      <c r="O223" s="5" t="s">
        <v>310</v>
      </c>
      <c r="P223" s="8" t="s">
        <v>311</v>
      </c>
    </row>
    <row r="224" customFormat="false" ht="18" hidden="false" customHeight="true" outlineLevel="0" collapsed="false">
      <c r="A224" s="9"/>
      <c r="B224" s="4" t="str">
        <f aca="false">IF(A224="","",TEXT(A224,"MM-YYYY"))</f>
        <v/>
      </c>
      <c r="C224" s="10" t="s">
        <v>689</v>
      </c>
      <c r="D224" s="11" t="s">
        <v>690</v>
      </c>
      <c r="E224" s="12" t="s">
        <v>305</v>
      </c>
      <c r="F224" s="12" t="s">
        <v>203</v>
      </c>
      <c r="G224" s="10" t="s">
        <v>319</v>
      </c>
      <c r="H224" s="6" t="s">
        <v>22</v>
      </c>
      <c r="I224" s="12"/>
      <c r="J224" s="9"/>
      <c r="K224" s="13" t="str">
        <f aca="true">IF(A224="","",TODAY()-A224)</f>
        <v/>
      </c>
      <c r="L224" s="11" t="s">
        <v>691</v>
      </c>
      <c r="M224" s="10" t="s">
        <v>308</v>
      </c>
      <c r="N224" s="10" t="s">
        <v>309</v>
      </c>
      <c r="O224" s="10" t="s">
        <v>310</v>
      </c>
      <c r="P224" s="14" t="s">
        <v>391</v>
      </c>
    </row>
    <row r="225" customFormat="false" ht="18" hidden="false" customHeight="true" outlineLevel="0" collapsed="false">
      <c r="A225" s="3"/>
      <c r="B225" s="4" t="str">
        <f aca="false">IF(A225="","",TEXT(A225,"MM-YYYY"))</f>
        <v/>
      </c>
      <c r="C225" s="5" t="s">
        <v>692</v>
      </c>
      <c r="D225" s="4" t="s">
        <v>693</v>
      </c>
      <c r="E225" s="6" t="s">
        <v>305</v>
      </c>
      <c r="F225" s="6" t="s">
        <v>203</v>
      </c>
      <c r="G225" s="5" t="s">
        <v>306</v>
      </c>
      <c r="H225" s="6" t="s">
        <v>22</v>
      </c>
      <c r="I225" s="6"/>
      <c r="J225" s="3"/>
      <c r="K225" s="7" t="str">
        <f aca="true">IF(A225="","",TODAY()-A225)</f>
        <v/>
      </c>
      <c r="L225" s="4" t="s">
        <v>694</v>
      </c>
      <c r="M225" s="5" t="s">
        <v>308</v>
      </c>
      <c r="N225" s="5" t="s">
        <v>309</v>
      </c>
      <c r="O225" s="5" t="s">
        <v>310</v>
      </c>
      <c r="P225" s="8" t="s">
        <v>682</v>
      </c>
    </row>
    <row r="226" customFormat="false" ht="18" hidden="false" customHeight="true" outlineLevel="0" collapsed="false">
      <c r="A226" s="9"/>
      <c r="B226" s="4" t="str">
        <f aca="false">IF(A226="","",TEXT(A226,"MM-YYYY"))</f>
        <v/>
      </c>
      <c r="C226" s="10" t="s">
        <v>695</v>
      </c>
      <c r="D226" s="11" t="s">
        <v>696</v>
      </c>
      <c r="E226" s="12" t="s">
        <v>305</v>
      </c>
      <c r="F226" s="12" t="s">
        <v>203</v>
      </c>
      <c r="G226" s="10" t="s">
        <v>697</v>
      </c>
      <c r="H226" s="6" t="s">
        <v>22</v>
      </c>
      <c r="I226" s="12"/>
      <c r="J226" s="9"/>
      <c r="K226" s="13" t="str">
        <f aca="true">IF(A226="","",TODAY()-A226)</f>
        <v/>
      </c>
      <c r="L226" s="11" t="s">
        <v>698</v>
      </c>
      <c r="M226" s="10" t="s">
        <v>308</v>
      </c>
      <c r="N226" s="10" t="s">
        <v>309</v>
      </c>
      <c r="O226" s="10" t="s">
        <v>310</v>
      </c>
      <c r="P226" s="14" t="s">
        <v>391</v>
      </c>
    </row>
    <row r="227" customFormat="false" ht="18" hidden="false" customHeight="true" outlineLevel="0" collapsed="false">
      <c r="A227" s="3"/>
      <c r="B227" s="4" t="str">
        <f aca="false">IF(A227="","",TEXT(A227,"MM-YYYY"))</f>
        <v/>
      </c>
      <c r="C227" s="5" t="s">
        <v>699</v>
      </c>
      <c r="D227" s="4" t="s">
        <v>700</v>
      </c>
      <c r="E227" s="6" t="s">
        <v>305</v>
      </c>
      <c r="F227" s="6" t="s">
        <v>203</v>
      </c>
      <c r="G227" s="5" t="s">
        <v>701</v>
      </c>
      <c r="H227" s="6" t="s">
        <v>22</v>
      </c>
      <c r="I227" s="6"/>
      <c r="J227" s="3"/>
      <c r="K227" s="7" t="str">
        <f aca="true">IF(A227="","",TODAY()-A227)</f>
        <v/>
      </c>
      <c r="L227" s="4" t="s">
        <v>702</v>
      </c>
      <c r="M227" s="5" t="s">
        <v>308</v>
      </c>
      <c r="N227" s="5" t="s">
        <v>309</v>
      </c>
      <c r="O227" s="5" t="s">
        <v>310</v>
      </c>
      <c r="P227" s="8" t="s">
        <v>391</v>
      </c>
    </row>
    <row r="228" customFormat="false" ht="18" hidden="false" customHeight="true" outlineLevel="0" collapsed="false">
      <c r="A228" s="9"/>
      <c r="B228" s="4" t="str">
        <f aca="false">IF(A228="","",TEXT(A228,"MM-YYYY"))</f>
        <v/>
      </c>
      <c r="C228" s="10" t="s">
        <v>703</v>
      </c>
      <c r="D228" s="11" t="s">
        <v>704</v>
      </c>
      <c r="E228" s="12" t="s">
        <v>305</v>
      </c>
      <c r="F228" s="12" t="s">
        <v>203</v>
      </c>
      <c r="G228" s="10" t="s">
        <v>319</v>
      </c>
      <c r="H228" s="6" t="s">
        <v>22</v>
      </c>
      <c r="I228" s="12"/>
      <c r="J228" s="9"/>
      <c r="K228" s="13" t="str">
        <f aca="true">IF(A228="","",TODAY()-A228)</f>
        <v/>
      </c>
      <c r="L228" s="11" t="s">
        <v>705</v>
      </c>
      <c r="M228" s="10" t="s">
        <v>308</v>
      </c>
      <c r="N228" s="10" t="s">
        <v>309</v>
      </c>
      <c r="O228" s="10" t="s">
        <v>310</v>
      </c>
      <c r="P228" s="14" t="s">
        <v>316</v>
      </c>
    </row>
    <row r="229" customFormat="false" ht="18" hidden="false" customHeight="true" outlineLevel="0" collapsed="false">
      <c r="A229" s="3"/>
      <c r="B229" s="4" t="str">
        <f aca="false">IF(A229="","",TEXT(A229,"MM-YYYY"))</f>
        <v/>
      </c>
      <c r="C229" s="5" t="s">
        <v>706</v>
      </c>
      <c r="D229" s="4" t="s">
        <v>326</v>
      </c>
      <c r="E229" s="6" t="s">
        <v>305</v>
      </c>
      <c r="F229" s="6" t="s">
        <v>203</v>
      </c>
      <c r="G229" s="5" t="s">
        <v>342</v>
      </c>
      <c r="H229" s="6" t="s">
        <v>26</v>
      </c>
      <c r="I229" s="6"/>
      <c r="J229" s="3"/>
      <c r="K229" s="7" t="str">
        <f aca="true">IF(A229="","",TODAY()-A229)</f>
        <v/>
      </c>
      <c r="L229" s="4" t="s">
        <v>707</v>
      </c>
      <c r="M229" s="5" t="s">
        <v>308</v>
      </c>
      <c r="N229" s="5" t="s">
        <v>309</v>
      </c>
      <c r="O229" s="5" t="s">
        <v>310</v>
      </c>
      <c r="P229" s="8" t="s">
        <v>708</v>
      </c>
    </row>
    <row r="230" customFormat="false" ht="18" hidden="false" customHeight="true" outlineLevel="0" collapsed="false">
      <c r="A230" s="9"/>
      <c r="B230" s="4" t="str">
        <f aca="false">IF(A230="","",TEXT(A230,"MM-YYYY"))</f>
        <v/>
      </c>
      <c r="C230" s="10" t="s">
        <v>709</v>
      </c>
      <c r="D230" s="11" t="s">
        <v>710</v>
      </c>
      <c r="E230" s="12" t="s">
        <v>305</v>
      </c>
      <c r="F230" s="12" t="s">
        <v>203</v>
      </c>
      <c r="G230" s="10" t="s">
        <v>306</v>
      </c>
      <c r="H230" s="6" t="s">
        <v>22</v>
      </c>
      <c r="I230" s="12"/>
      <c r="J230" s="9"/>
      <c r="K230" s="13" t="str">
        <f aca="true">IF(A230="","",TODAY()-A230)</f>
        <v/>
      </c>
      <c r="L230" s="11" t="s">
        <v>711</v>
      </c>
      <c r="M230" s="10" t="s">
        <v>308</v>
      </c>
      <c r="N230" s="10" t="s">
        <v>309</v>
      </c>
      <c r="O230" s="10" t="s">
        <v>310</v>
      </c>
      <c r="P230" s="14" t="s">
        <v>712</v>
      </c>
    </row>
    <row r="231" customFormat="false" ht="18" hidden="false" customHeight="true" outlineLevel="0" collapsed="false">
      <c r="A231" s="3"/>
      <c r="B231" s="4" t="str">
        <f aca="false">IF(A231="","",TEXT(A231,"MM-YYYY"))</f>
        <v/>
      </c>
      <c r="C231" s="5" t="s">
        <v>713</v>
      </c>
      <c r="D231" s="4" t="s">
        <v>326</v>
      </c>
      <c r="E231" s="6" t="s">
        <v>305</v>
      </c>
      <c r="F231" s="6" t="s">
        <v>203</v>
      </c>
      <c r="G231" s="5" t="s">
        <v>422</v>
      </c>
      <c r="H231" s="6" t="s">
        <v>26</v>
      </c>
      <c r="I231" s="6"/>
      <c r="J231" s="3"/>
      <c r="K231" s="7" t="str">
        <f aca="true">IF(A231="","",TODAY()-A231)</f>
        <v/>
      </c>
      <c r="L231" s="4" t="s">
        <v>714</v>
      </c>
      <c r="M231" s="5" t="s">
        <v>308</v>
      </c>
      <c r="N231" s="5" t="s">
        <v>309</v>
      </c>
      <c r="O231" s="5" t="s">
        <v>310</v>
      </c>
      <c r="P231" s="8" t="s">
        <v>708</v>
      </c>
    </row>
    <row r="232" customFormat="false" ht="18" hidden="false" customHeight="true" outlineLevel="0" collapsed="false">
      <c r="A232" s="9"/>
      <c r="B232" s="4" t="str">
        <f aca="false">IF(A232="","",TEXT(A232,"MM-YYYY"))</f>
        <v/>
      </c>
      <c r="C232" s="10" t="s">
        <v>715</v>
      </c>
      <c r="D232" s="11" t="s">
        <v>716</v>
      </c>
      <c r="E232" s="12" t="s">
        <v>305</v>
      </c>
      <c r="F232" s="12" t="s">
        <v>203</v>
      </c>
      <c r="G232" s="10" t="s">
        <v>464</v>
      </c>
      <c r="H232" s="6" t="s">
        <v>22</v>
      </c>
      <c r="I232" s="12"/>
      <c r="J232" s="9"/>
      <c r="K232" s="13" t="str">
        <f aca="true">IF(A232="","",TODAY()-A232)</f>
        <v/>
      </c>
      <c r="L232" s="11" t="s">
        <v>717</v>
      </c>
      <c r="M232" s="10" t="s">
        <v>308</v>
      </c>
      <c r="N232" s="10" t="s">
        <v>309</v>
      </c>
      <c r="O232" s="10" t="s">
        <v>310</v>
      </c>
      <c r="P232" s="14" t="s">
        <v>316</v>
      </c>
    </row>
    <row r="233" customFormat="false" ht="18" hidden="false" customHeight="true" outlineLevel="0" collapsed="false">
      <c r="A233" s="3"/>
      <c r="B233" s="4" t="str">
        <f aca="false">IF(A233="","",TEXT(A233,"MM-YYYY"))</f>
        <v/>
      </c>
      <c r="C233" s="5" t="s">
        <v>718</v>
      </c>
      <c r="D233" s="4" t="s">
        <v>719</v>
      </c>
      <c r="E233" s="6" t="s">
        <v>305</v>
      </c>
      <c r="F233" s="6" t="s">
        <v>203</v>
      </c>
      <c r="G233" s="5" t="s">
        <v>720</v>
      </c>
      <c r="H233" s="6" t="s">
        <v>26</v>
      </c>
      <c r="I233" s="6"/>
      <c r="J233" s="3"/>
      <c r="K233" s="7" t="str">
        <f aca="true">IF(A233="","",TODAY()-A233)</f>
        <v/>
      </c>
      <c r="L233" s="4" t="s">
        <v>721</v>
      </c>
      <c r="M233" s="5" t="s">
        <v>308</v>
      </c>
      <c r="N233" s="5" t="s">
        <v>309</v>
      </c>
      <c r="O233" s="5" t="s">
        <v>310</v>
      </c>
      <c r="P233" s="8" t="s">
        <v>492</v>
      </c>
    </row>
    <row r="234" customFormat="false" ht="18" hidden="false" customHeight="true" outlineLevel="0" collapsed="false">
      <c r="A234" s="9"/>
      <c r="B234" s="4" t="str">
        <f aca="false">IF(A234="","",TEXT(A234,"MM-YYYY"))</f>
        <v/>
      </c>
      <c r="C234" s="10" t="s">
        <v>722</v>
      </c>
      <c r="D234" s="11" t="s">
        <v>723</v>
      </c>
      <c r="E234" s="12" t="s">
        <v>305</v>
      </c>
      <c r="F234" s="12" t="s">
        <v>203</v>
      </c>
      <c r="G234" s="10" t="s">
        <v>724</v>
      </c>
      <c r="H234" s="6" t="s">
        <v>22</v>
      </c>
      <c r="I234" s="12"/>
      <c r="J234" s="9"/>
      <c r="K234" s="13" t="str">
        <f aca="true">IF(A234="","",TODAY()-A234)</f>
        <v/>
      </c>
      <c r="L234" s="11" t="s">
        <v>725</v>
      </c>
      <c r="M234" s="10" t="s">
        <v>308</v>
      </c>
      <c r="N234" s="10" t="s">
        <v>309</v>
      </c>
      <c r="O234" s="10" t="s">
        <v>310</v>
      </c>
      <c r="P234" s="14" t="s">
        <v>726</v>
      </c>
    </row>
    <row r="235" customFormat="false" ht="18" hidden="false" customHeight="true" outlineLevel="0" collapsed="false">
      <c r="A235" s="3"/>
      <c r="B235" s="4" t="str">
        <f aca="false">IF(A235="","",TEXT(A235,"MM-YYYY"))</f>
        <v/>
      </c>
      <c r="C235" s="5" t="s">
        <v>727</v>
      </c>
      <c r="D235" s="4" t="s">
        <v>728</v>
      </c>
      <c r="E235" s="6" t="s">
        <v>305</v>
      </c>
      <c r="F235" s="6" t="s">
        <v>203</v>
      </c>
      <c r="G235" s="5" t="s">
        <v>306</v>
      </c>
      <c r="H235" s="6" t="s">
        <v>22</v>
      </c>
      <c r="I235" s="6"/>
      <c r="J235" s="3"/>
      <c r="K235" s="7" t="str">
        <f aca="true">IF(A235="","",TODAY()-A235)</f>
        <v/>
      </c>
      <c r="L235" s="4" t="s">
        <v>729</v>
      </c>
      <c r="M235" s="5" t="s">
        <v>308</v>
      </c>
      <c r="N235" s="5" t="s">
        <v>309</v>
      </c>
      <c r="O235" s="5" t="s">
        <v>310</v>
      </c>
      <c r="P235" s="8" t="s">
        <v>674</v>
      </c>
    </row>
    <row r="236" customFormat="false" ht="18" hidden="false" customHeight="true" outlineLevel="0" collapsed="false">
      <c r="A236" s="9"/>
      <c r="B236" s="4" t="str">
        <f aca="false">IF(A236="","",TEXT(A236,"MM-YYYY"))</f>
        <v/>
      </c>
      <c r="C236" s="10" t="s">
        <v>730</v>
      </c>
      <c r="D236" s="11" t="s">
        <v>731</v>
      </c>
      <c r="E236" s="12" t="s">
        <v>305</v>
      </c>
      <c r="F236" s="12" t="s">
        <v>203</v>
      </c>
      <c r="G236" s="10" t="s">
        <v>732</v>
      </c>
      <c r="H236" s="6" t="s">
        <v>22</v>
      </c>
      <c r="I236" s="12"/>
      <c r="J236" s="9"/>
      <c r="K236" s="13" t="str">
        <f aca="true">IF(A236="","",TODAY()-A236)</f>
        <v/>
      </c>
      <c r="L236" s="11" t="s">
        <v>733</v>
      </c>
      <c r="M236" s="10" t="s">
        <v>348</v>
      </c>
      <c r="N236" s="10" t="s">
        <v>368</v>
      </c>
      <c r="O236" s="10" t="s">
        <v>350</v>
      </c>
      <c r="P236" s="14" t="s">
        <v>674</v>
      </c>
    </row>
    <row r="237" customFormat="false" ht="18" hidden="false" customHeight="true" outlineLevel="0" collapsed="false">
      <c r="A237" s="3"/>
      <c r="B237" s="4" t="str">
        <f aca="false">IF(A237="","",TEXT(A237,"MM-YYYY"))</f>
        <v/>
      </c>
      <c r="C237" s="5" t="s">
        <v>734</v>
      </c>
      <c r="D237" s="4" t="s">
        <v>735</v>
      </c>
      <c r="E237" s="6" t="s">
        <v>305</v>
      </c>
      <c r="F237" s="6" t="s">
        <v>203</v>
      </c>
      <c r="G237" s="5" t="s">
        <v>366</v>
      </c>
      <c r="H237" s="6" t="s">
        <v>22</v>
      </c>
      <c r="I237" s="6"/>
      <c r="J237" s="3"/>
      <c r="K237" s="7" t="str">
        <f aca="true">IF(A237="","",TODAY()-A237)</f>
        <v/>
      </c>
      <c r="L237" s="4" t="s">
        <v>736</v>
      </c>
      <c r="M237" s="5" t="s">
        <v>308</v>
      </c>
      <c r="N237" s="5" t="s">
        <v>309</v>
      </c>
      <c r="O237" s="5" t="s">
        <v>310</v>
      </c>
      <c r="P237" s="8" t="s">
        <v>674</v>
      </c>
    </row>
    <row r="238" customFormat="false" ht="18" hidden="false" customHeight="true" outlineLevel="0" collapsed="false">
      <c r="A238" s="9"/>
      <c r="B238" s="4" t="str">
        <f aca="false">IF(A238="","",TEXT(A238,"MM-YYYY"))</f>
        <v/>
      </c>
      <c r="C238" s="10" t="s">
        <v>737</v>
      </c>
      <c r="D238" s="11" t="s">
        <v>738</v>
      </c>
      <c r="E238" s="12" t="s">
        <v>305</v>
      </c>
      <c r="F238" s="12" t="s">
        <v>203</v>
      </c>
      <c r="G238" s="10" t="s">
        <v>732</v>
      </c>
      <c r="H238" s="6" t="s">
        <v>22</v>
      </c>
      <c r="I238" s="12"/>
      <c r="J238" s="9"/>
      <c r="K238" s="13" t="str">
        <f aca="true">IF(A238="","",TODAY()-A238)</f>
        <v/>
      </c>
      <c r="L238" s="11" t="s">
        <v>739</v>
      </c>
      <c r="M238" s="10" t="s">
        <v>348</v>
      </c>
      <c r="N238" s="10" t="s">
        <v>368</v>
      </c>
      <c r="O238" s="10" t="s">
        <v>350</v>
      </c>
      <c r="P238" s="14" t="s">
        <v>674</v>
      </c>
    </row>
    <row r="239" customFormat="false" ht="18" hidden="false" customHeight="true" outlineLevel="0" collapsed="false">
      <c r="A239" s="3"/>
      <c r="B239" s="4" t="str">
        <f aca="false">IF(A239="","",TEXT(A239,"MM-YYYY"))</f>
        <v/>
      </c>
      <c r="C239" s="5" t="s">
        <v>740</v>
      </c>
      <c r="D239" s="4" t="s">
        <v>741</v>
      </c>
      <c r="E239" s="6" t="s">
        <v>305</v>
      </c>
      <c r="F239" s="6" t="s">
        <v>203</v>
      </c>
      <c r="G239" s="5" t="s">
        <v>418</v>
      </c>
      <c r="H239" s="6" t="s">
        <v>22</v>
      </c>
      <c r="I239" s="6"/>
      <c r="J239" s="3"/>
      <c r="K239" s="7" t="str">
        <f aca="true">IF(A239="","",TODAY()-A239)</f>
        <v/>
      </c>
      <c r="L239" s="4" t="s">
        <v>742</v>
      </c>
      <c r="M239" s="5" t="s">
        <v>308</v>
      </c>
      <c r="N239" s="5" t="s">
        <v>309</v>
      </c>
      <c r="O239" s="5" t="s">
        <v>310</v>
      </c>
      <c r="P239" s="8" t="s">
        <v>391</v>
      </c>
    </row>
    <row r="240" customFormat="false" ht="18" hidden="false" customHeight="true" outlineLevel="0" collapsed="false">
      <c r="A240" s="9"/>
      <c r="B240" s="4" t="str">
        <f aca="false">IF(A240="","",TEXT(A240,"MM-YYYY"))</f>
        <v/>
      </c>
      <c r="C240" s="10" t="s">
        <v>743</v>
      </c>
      <c r="D240" s="11" t="s">
        <v>744</v>
      </c>
      <c r="E240" s="12" t="s">
        <v>305</v>
      </c>
      <c r="F240" s="12" t="s">
        <v>203</v>
      </c>
      <c r="G240" s="10" t="s">
        <v>366</v>
      </c>
      <c r="H240" s="6" t="s">
        <v>22</v>
      </c>
      <c r="I240" s="12"/>
      <c r="J240" s="9"/>
      <c r="K240" s="13" t="str">
        <f aca="true">IF(A240="","",TODAY()-A240)</f>
        <v/>
      </c>
      <c r="L240" s="11" t="s">
        <v>745</v>
      </c>
      <c r="M240" s="10" t="s">
        <v>348</v>
      </c>
      <c r="N240" s="10" t="s">
        <v>368</v>
      </c>
      <c r="O240" s="10" t="s">
        <v>350</v>
      </c>
      <c r="P240" s="14" t="s">
        <v>674</v>
      </c>
    </row>
    <row r="241" customFormat="false" ht="18" hidden="false" customHeight="true" outlineLevel="0" collapsed="false">
      <c r="A241" s="3"/>
      <c r="B241" s="4" t="str">
        <f aca="false">IF(A241="","",TEXT(A241,"MM-YYYY"))</f>
        <v/>
      </c>
      <c r="C241" s="5" t="s">
        <v>746</v>
      </c>
      <c r="D241" s="4" t="s">
        <v>747</v>
      </c>
      <c r="E241" s="6" t="s">
        <v>305</v>
      </c>
      <c r="F241" s="6" t="s">
        <v>203</v>
      </c>
      <c r="G241" s="5" t="s">
        <v>425</v>
      </c>
      <c r="H241" s="6" t="s">
        <v>22</v>
      </c>
      <c r="I241" s="6"/>
      <c r="J241" s="3"/>
      <c r="K241" s="7" t="str">
        <f aca="true">IF(A241="","",TODAY()-A241)</f>
        <v/>
      </c>
      <c r="L241" s="4" t="s">
        <v>748</v>
      </c>
      <c r="M241" s="5" t="s">
        <v>308</v>
      </c>
      <c r="N241" s="5" t="s">
        <v>309</v>
      </c>
      <c r="O241" s="5" t="s">
        <v>310</v>
      </c>
      <c r="P241" s="8" t="s">
        <v>316</v>
      </c>
    </row>
    <row r="242" customFormat="false" ht="18" hidden="false" customHeight="true" outlineLevel="0" collapsed="false">
      <c r="A242" s="9"/>
      <c r="B242" s="4" t="str">
        <f aca="false">IF(A242="","",TEXT(A242,"MM-YYYY"))</f>
        <v/>
      </c>
      <c r="C242" s="10" t="s">
        <v>749</v>
      </c>
      <c r="D242" s="11" t="s">
        <v>750</v>
      </c>
      <c r="E242" s="12" t="s">
        <v>305</v>
      </c>
      <c r="F242" s="12" t="s">
        <v>203</v>
      </c>
      <c r="G242" s="10" t="s">
        <v>751</v>
      </c>
      <c r="H242" s="6" t="s">
        <v>22</v>
      </c>
      <c r="I242" s="12"/>
      <c r="J242" s="9"/>
      <c r="K242" s="13" t="str">
        <f aca="true">IF(A242="","",TODAY()-A242)</f>
        <v/>
      </c>
      <c r="L242" s="11" t="s">
        <v>752</v>
      </c>
      <c r="M242" s="10" t="s">
        <v>308</v>
      </c>
      <c r="N242" s="10" t="s">
        <v>309</v>
      </c>
      <c r="O242" s="10" t="s">
        <v>310</v>
      </c>
      <c r="P242" s="14" t="s">
        <v>316</v>
      </c>
    </row>
    <row r="243" customFormat="false" ht="18" hidden="false" customHeight="true" outlineLevel="0" collapsed="false">
      <c r="A243" s="3"/>
      <c r="B243" s="4" t="str">
        <f aca="false">IF(A243="","",TEXT(A243,"MM-YYYY"))</f>
        <v/>
      </c>
      <c r="C243" s="5" t="s">
        <v>753</v>
      </c>
      <c r="D243" s="4" t="s">
        <v>754</v>
      </c>
      <c r="E243" s="6" t="s">
        <v>305</v>
      </c>
      <c r="F243" s="6" t="s">
        <v>203</v>
      </c>
      <c r="G243" s="5" t="s">
        <v>755</v>
      </c>
      <c r="H243" s="6" t="s">
        <v>22</v>
      </c>
      <c r="I243" s="6"/>
      <c r="J243" s="3"/>
      <c r="K243" s="7" t="str">
        <f aca="true">IF(A243="","",TODAY()-A243)</f>
        <v/>
      </c>
      <c r="L243" s="4" t="s">
        <v>756</v>
      </c>
      <c r="M243" s="5" t="s">
        <v>308</v>
      </c>
      <c r="N243" s="5" t="s">
        <v>309</v>
      </c>
      <c r="O243" s="5" t="s">
        <v>310</v>
      </c>
      <c r="P243" s="8" t="s">
        <v>316</v>
      </c>
    </row>
    <row r="244" customFormat="false" ht="18" hidden="false" customHeight="true" outlineLevel="0" collapsed="false">
      <c r="A244" s="9"/>
      <c r="B244" s="4" t="str">
        <f aca="false">IF(A244="","",TEXT(A244,"MM-YYYY"))</f>
        <v/>
      </c>
      <c r="C244" s="10" t="s">
        <v>757</v>
      </c>
      <c r="D244" s="11" t="s">
        <v>758</v>
      </c>
      <c r="E244" s="12" t="s">
        <v>305</v>
      </c>
      <c r="F244" s="12" t="s">
        <v>203</v>
      </c>
      <c r="G244" s="10" t="s">
        <v>759</v>
      </c>
      <c r="H244" s="6" t="s">
        <v>22</v>
      </c>
      <c r="I244" s="12"/>
      <c r="J244" s="9"/>
      <c r="K244" s="13" t="str">
        <f aca="true">IF(A244="","",TODAY()-A244)</f>
        <v/>
      </c>
      <c r="L244" s="11" t="s">
        <v>760</v>
      </c>
      <c r="M244" s="10" t="s">
        <v>308</v>
      </c>
      <c r="N244" s="10" t="s">
        <v>309</v>
      </c>
      <c r="O244" s="10" t="s">
        <v>310</v>
      </c>
      <c r="P244" s="14" t="s">
        <v>391</v>
      </c>
    </row>
    <row r="245" customFormat="false" ht="18" hidden="false" customHeight="true" outlineLevel="0" collapsed="false">
      <c r="A245" s="3"/>
      <c r="B245" s="4" t="str">
        <f aca="false">IF(A245="","",TEXT(A245,"MM-YYYY"))</f>
        <v/>
      </c>
      <c r="C245" s="5" t="s">
        <v>761</v>
      </c>
      <c r="D245" s="4" t="s">
        <v>762</v>
      </c>
      <c r="E245" s="6" t="s">
        <v>305</v>
      </c>
      <c r="F245" s="6" t="s">
        <v>203</v>
      </c>
      <c r="G245" s="5" t="s">
        <v>358</v>
      </c>
      <c r="H245" s="6" t="s">
        <v>22</v>
      </c>
      <c r="I245" s="6"/>
      <c r="J245" s="3"/>
      <c r="K245" s="7" t="str">
        <f aca="true">IF(A245="","",TODAY()-A245)</f>
        <v/>
      </c>
      <c r="L245" s="4" t="s">
        <v>763</v>
      </c>
      <c r="M245" s="5" t="s">
        <v>308</v>
      </c>
      <c r="N245" s="5" t="s">
        <v>309</v>
      </c>
      <c r="O245" s="5" t="s">
        <v>310</v>
      </c>
      <c r="P245" s="8" t="s">
        <v>712</v>
      </c>
    </row>
    <row r="246" customFormat="false" ht="18" hidden="false" customHeight="true" outlineLevel="0" collapsed="false">
      <c r="A246" s="9"/>
      <c r="B246" s="4" t="str">
        <f aca="false">IF(A246="","",TEXT(A246,"MM-YYYY"))</f>
        <v/>
      </c>
      <c r="C246" s="10" t="s">
        <v>764</v>
      </c>
      <c r="D246" s="11" t="s">
        <v>765</v>
      </c>
      <c r="E246" s="12" t="s">
        <v>305</v>
      </c>
      <c r="F246" s="12" t="s">
        <v>203</v>
      </c>
      <c r="G246" s="10" t="s">
        <v>306</v>
      </c>
      <c r="H246" s="6" t="s">
        <v>766</v>
      </c>
      <c r="I246" s="12" t="s">
        <v>767</v>
      </c>
      <c r="J246" s="9"/>
      <c r="K246" s="13" t="str">
        <f aca="true">IF(A246="","",TODAY()-A246)</f>
        <v/>
      </c>
      <c r="L246" s="11" t="s">
        <v>768</v>
      </c>
      <c r="M246" s="10" t="s">
        <v>308</v>
      </c>
      <c r="N246" s="10" t="s">
        <v>309</v>
      </c>
      <c r="O246" s="10" t="s">
        <v>310</v>
      </c>
      <c r="P246" s="14" t="s">
        <v>767</v>
      </c>
    </row>
    <row r="247" customFormat="false" ht="18" hidden="false" customHeight="true" outlineLevel="0" collapsed="false">
      <c r="A247" s="3"/>
      <c r="B247" s="4" t="str">
        <f aca="false">IF(A247="","",TEXT(A247,"MM-YYYY"))</f>
        <v/>
      </c>
      <c r="C247" s="5" t="s">
        <v>769</v>
      </c>
      <c r="D247" s="4" t="s">
        <v>770</v>
      </c>
      <c r="E247" s="6" t="s">
        <v>305</v>
      </c>
      <c r="F247" s="6" t="s">
        <v>203</v>
      </c>
      <c r="G247" s="5" t="s">
        <v>464</v>
      </c>
      <c r="H247" s="6" t="s">
        <v>22</v>
      </c>
      <c r="I247" s="6"/>
      <c r="J247" s="3"/>
      <c r="K247" s="7" t="str">
        <f aca="true">IF(A247="","",TODAY()-A247)</f>
        <v/>
      </c>
      <c r="L247" s="4" t="s">
        <v>771</v>
      </c>
      <c r="M247" s="5" t="s">
        <v>308</v>
      </c>
      <c r="N247" s="5" t="s">
        <v>309</v>
      </c>
      <c r="O247" s="5" t="s">
        <v>310</v>
      </c>
      <c r="P247" s="8" t="s">
        <v>674</v>
      </c>
    </row>
    <row r="248" customFormat="false" ht="18" hidden="false" customHeight="true" outlineLevel="0" collapsed="false">
      <c r="A248" s="9"/>
      <c r="B248" s="4" t="str">
        <f aca="false">IF(A248="","",TEXT(A248,"MM-YYYY"))</f>
        <v/>
      </c>
      <c r="C248" s="10" t="s">
        <v>772</v>
      </c>
      <c r="D248" s="11" t="s">
        <v>773</v>
      </c>
      <c r="E248" s="12" t="s">
        <v>305</v>
      </c>
      <c r="F248" s="12" t="s">
        <v>203</v>
      </c>
      <c r="G248" s="10" t="s">
        <v>319</v>
      </c>
      <c r="H248" s="6" t="s">
        <v>22</v>
      </c>
      <c r="I248" s="12"/>
      <c r="J248" s="9"/>
      <c r="K248" s="13" t="str">
        <f aca="true">IF(A248="","",TODAY()-A248)</f>
        <v/>
      </c>
      <c r="L248" s="11" t="s">
        <v>774</v>
      </c>
      <c r="M248" s="10" t="s">
        <v>308</v>
      </c>
      <c r="N248" s="10" t="s">
        <v>309</v>
      </c>
      <c r="O248" s="10" t="s">
        <v>310</v>
      </c>
      <c r="P248" s="14" t="s">
        <v>682</v>
      </c>
    </row>
    <row r="249" customFormat="false" ht="18" hidden="false" customHeight="true" outlineLevel="0" collapsed="false">
      <c r="A249" s="3"/>
      <c r="B249" s="4" t="str">
        <f aca="false">IF(A249="","",TEXT(A249,"MM-YYYY"))</f>
        <v/>
      </c>
      <c r="C249" s="5" t="s">
        <v>775</v>
      </c>
      <c r="D249" s="4" t="s">
        <v>776</v>
      </c>
      <c r="E249" s="6" t="s">
        <v>305</v>
      </c>
      <c r="F249" s="6" t="s">
        <v>203</v>
      </c>
      <c r="G249" s="5" t="s">
        <v>777</v>
      </c>
      <c r="H249" s="6" t="s">
        <v>26</v>
      </c>
      <c r="I249" s="6"/>
      <c r="J249" s="3"/>
      <c r="K249" s="7" t="str">
        <f aca="true">IF(A249="","",TODAY()-A249)</f>
        <v/>
      </c>
      <c r="L249" s="4" t="s">
        <v>778</v>
      </c>
      <c r="M249" s="5" t="s">
        <v>308</v>
      </c>
      <c r="N249" s="5" t="s">
        <v>309</v>
      </c>
      <c r="O249" s="5" t="s">
        <v>310</v>
      </c>
      <c r="P249" s="8" t="s">
        <v>492</v>
      </c>
    </row>
    <row r="250" customFormat="false" ht="18" hidden="false" customHeight="true" outlineLevel="0" collapsed="false">
      <c r="A250" s="9"/>
      <c r="B250" s="4" t="str">
        <f aca="false">IF(A250="","",TEXT(A250,"MM-YYYY"))</f>
        <v/>
      </c>
      <c r="C250" s="10" t="s">
        <v>779</v>
      </c>
      <c r="D250" s="11" t="s">
        <v>780</v>
      </c>
      <c r="E250" s="12" t="s">
        <v>305</v>
      </c>
      <c r="F250" s="12" t="s">
        <v>203</v>
      </c>
      <c r="G250" s="10" t="s">
        <v>422</v>
      </c>
      <c r="H250" s="6" t="s">
        <v>22</v>
      </c>
      <c r="I250" s="12"/>
      <c r="J250" s="9"/>
      <c r="K250" s="13" t="str">
        <f aca="true">IF(A250="","",TODAY()-A250)</f>
        <v/>
      </c>
      <c r="L250" s="11" t="s">
        <v>781</v>
      </c>
      <c r="M250" s="10" t="s">
        <v>308</v>
      </c>
      <c r="N250" s="10" t="s">
        <v>355</v>
      </c>
      <c r="O250" s="10" t="s">
        <v>310</v>
      </c>
      <c r="P250" s="14" t="s">
        <v>674</v>
      </c>
    </row>
    <row r="251" customFormat="false" ht="18" hidden="false" customHeight="true" outlineLevel="0" collapsed="false">
      <c r="A251" s="3"/>
      <c r="B251" s="4" t="str">
        <f aca="false">IF(A251="","",TEXT(A251,"MM-YYYY"))</f>
        <v/>
      </c>
      <c r="C251" s="5" t="s">
        <v>782</v>
      </c>
      <c r="D251" s="4" t="s">
        <v>783</v>
      </c>
      <c r="E251" s="6" t="s">
        <v>305</v>
      </c>
      <c r="F251" s="6" t="s">
        <v>203</v>
      </c>
      <c r="G251" s="5" t="s">
        <v>404</v>
      </c>
      <c r="H251" s="6" t="s">
        <v>22</v>
      </c>
      <c r="I251" s="6"/>
      <c r="J251" s="3"/>
      <c r="K251" s="7" t="str">
        <f aca="true">IF(A251="","",TODAY()-A251)</f>
        <v/>
      </c>
      <c r="L251" s="4" t="s">
        <v>784</v>
      </c>
      <c r="M251" s="5" t="s">
        <v>308</v>
      </c>
      <c r="N251" s="5" t="s">
        <v>309</v>
      </c>
      <c r="O251" s="5" t="s">
        <v>310</v>
      </c>
      <c r="P251" s="8" t="s">
        <v>674</v>
      </c>
    </row>
    <row r="252" customFormat="false" ht="18" hidden="false" customHeight="true" outlineLevel="0" collapsed="false">
      <c r="A252" s="9"/>
      <c r="B252" s="4" t="str">
        <f aca="false">IF(A252="","",TEXT(A252,"MM-YYYY"))</f>
        <v/>
      </c>
      <c r="C252" s="10" t="s">
        <v>785</v>
      </c>
      <c r="D252" s="11" t="s">
        <v>786</v>
      </c>
      <c r="E252" s="12" t="s">
        <v>305</v>
      </c>
      <c r="F252" s="12" t="s">
        <v>203</v>
      </c>
      <c r="G252" s="10" t="s">
        <v>422</v>
      </c>
      <c r="H252" s="6" t="s">
        <v>22</v>
      </c>
      <c r="I252" s="12"/>
      <c r="J252" s="9"/>
      <c r="K252" s="13" t="str">
        <f aca="true">IF(A252="","",TODAY()-A252)</f>
        <v/>
      </c>
      <c r="L252" s="11" t="s">
        <v>787</v>
      </c>
      <c r="M252" s="10" t="s">
        <v>308</v>
      </c>
      <c r="N252" s="10" t="s">
        <v>309</v>
      </c>
      <c r="O252" s="10" t="s">
        <v>310</v>
      </c>
      <c r="P252" s="14" t="s">
        <v>712</v>
      </c>
    </row>
    <row r="253" customFormat="false" ht="18" hidden="false" customHeight="true" outlineLevel="0" collapsed="false">
      <c r="A253" s="3"/>
      <c r="B253" s="4" t="str">
        <f aca="false">IF(A253="","",TEXT(A253,"MM-YYYY"))</f>
        <v/>
      </c>
      <c r="C253" s="5" t="s">
        <v>788</v>
      </c>
      <c r="D253" s="4" t="s">
        <v>789</v>
      </c>
      <c r="E253" s="6" t="s">
        <v>305</v>
      </c>
      <c r="F253" s="6" t="s">
        <v>203</v>
      </c>
      <c r="G253" s="5" t="s">
        <v>790</v>
      </c>
      <c r="H253" s="6" t="s">
        <v>26</v>
      </c>
      <c r="I253" s="6"/>
      <c r="J253" s="3"/>
      <c r="K253" s="7" t="str">
        <f aca="true">IF(A253="","",TODAY()-A253)</f>
        <v/>
      </c>
      <c r="L253" s="4" t="s">
        <v>791</v>
      </c>
      <c r="M253" s="5" t="s">
        <v>308</v>
      </c>
      <c r="N253" s="5" t="s">
        <v>309</v>
      </c>
      <c r="O253" s="5" t="s">
        <v>310</v>
      </c>
      <c r="P253" s="8" t="s">
        <v>379</v>
      </c>
    </row>
    <row r="254" customFormat="false" ht="18" hidden="false" customHeight="true" outlineLevel="0" collapsed="false">
      <c r="A254" s="9"/>
      <c r="B254" s="4" t="str">
        <f aca="false">IF(A254="","",TEXT(A254,"MM-YYYY"))</f>
        <v/>
      </c>
      <c r="C254" s="10" t="s">
        <v>792</v>
      </c>
      <c r="D254" s="11" t="s">
        <v>793</v>
      </c>
      <c r="E254" s="12" t="s">
        <v>305</v>
      </c>
      <c r="F254" s="12" t="s">
        <v>203</v>
      </c>
      <c r="G254" s="10" t="s">
        <v>306</v>
      </c>
      <c r="H254" s="6" t="s">
        <v>22</v>
      </c>
      <c r="I254" s="12"/>
      <c r="J254" s="9"/>
      <c r="K254" s="13" t="str">
        <f aca="true">IF(A254="","",TODAY()-A254)</f>
        <v/>
      </c>
      <c r="L254" s="11" t="s">
        <v>794</v>
      </c>
      <c r="M254" s="10" t="s">
        <v>308</v>
      </c>
      <c r="N254" s="10" t="s">
        <v>309</v>
      </c>
      <c r="O254" s="10" t="s">
        <v>310</v>
      </c>
      <c r="P254" s="14" t="s">
        <v>316</v>
      </c>
    </row>
    <row r="255" customFormat="false" ht="18" hidden="false" customHeight="true" outlineLevel="0" collapsed="false">
      <c r="A255" s="3"/>
      <c r="B255" s="4" t="str">
        <f aca="false">IF(A255="","",TEXT(A255,"MM-YYYY"))</f>
        <v/>
      </c>
      <c r="C255" s="5" t="s">
        <v>795</v>
      </c>
      <c r="D255" s="4" t="s">
        <v>796</v>
      </c>
      <c r="E255" s="6" t="s">
        <v>305</v>
      </c>
      <c r="F255" s="6" t="s">
        <v>203</v>
      </c>
      <c r="G255" s="5" t="s">
        <v>374</v>
      </c>
      <c r="H255" s="6" t="s">
        <v>22</v>
      </c>
      <c r="I255" s="6"/>
      <c r="J255" s="3"/>
      <c r="K255" s="7" t="str">
        <f aca="true">IF(A255="","",TODAY()-A255)</f>
        <v/>
      </c>
      <c r="L255" s="4" t="s">
        <v>797</v>
      </c>
      <c r="M255" s="5" t="s">
        <v>308</v>
      </c>
      <c r="N255" s="5" t="s">
        <v>309</v>
      </c>
      <c r="O255" s="5" t="s">
        <v>310</v>
      </c>
      <c r="P255" s="8" t="s">
        <v>682</v>
      </c>
    </row>
    <row r="256" customFormat="false" ht="18" hidden="false" customHeight="true" outlineLevel="0" collapsed="false">
      <c r="A256" s="9"/>
      <c r="B256" s="4" t="str">
        <f aca="false">IF(A256="","",TEXT(A256,"MM-YYYY"))</f>
        <v/>
      </c>
      <c r="C256" s="10" t="s">
        <v>798</v>
      </c>
      <c r="D256" s="11" t="s">
        <v>799</v>
      </c>
      <c r="E256" s="12" t="s">
        <v>305</v>
      </c>
      <c r="F256" s="12" t="s">
        <v>203</v>
      </c>
      <c r="G256" s="10" t="s">
        <v>366</v>
      </c>
      <c r="H256" s="6" t="s">
        <v>22</v>
      </c>
      <c r="I256" s="12"/>
      <c r="J256" s="9"/>
      <c r="K256" s="13" t="str">
        <f aca="true">IF(A256="","",TODAY()-A256)</f>
        <v/>
      </c>
      <c r="L256" s="11" t="s">
        <v>800</v>
      </c>
      <c r="M256" s="10" t="s">
        <v>348</v>
      </c>
      <c r="N256" s="10" t="s">
        <v>368</v>
      </c>
      <c r="O256" s="10" t="s">
        <v>350</v>
      </c>
      <c r="P256" s="14" t="s">
        <v>674</v>
      </c>
    </row>
    <row r="257" customFormat="false" ht="18" hidden="false" customHeight="true" outlineLevel="0" collapsed="false">
      <c r="A257" s="3"/>
      <c r="B257" s="4" t="str">
        <f aca="false">IF(A257="","",TEXT(A257,"MM-YYYY"))</f>
        <v/>
      </c>
      <c r="C257" s="5" t="s">
        <v>801</v>
      </c>
      <c r="D257" s="4" t="s">
        <v>802</v>
      </c>
      <c r="E257" s="6" t="s">
        <v>305</v>
      </c>
      <c r="F257" s="6" t="s">
        <v>203</v>
      </c>
      <c r="G257" s="5" t="s">
        <v>404</v>
      </c>
      <c r="H257" s="6" t="s">
        <v>22</v>
      </c>
      <c r="I257" s="6"/>
      <c r="J257" s="3"/>
      <c r="K257" s="7" t="str">
        <f aca="true">IF(A257="","",TODAY()-A257)</f>
        <v/>
      </c>
      <c r="L257" s="4" t="s">
        <v>803</v>
      </c>
      <c r="M257" s="5" t="s">
        <v>308</v>
      </c>
      <c r="N257" s="5" t="s">
        <v>309</v>
      </c>
      <c r="O257" s="5" t="s">
        <v>310</v>
      </c>
      <c r="P257" s="8" t="s">
        <v>316</v>
      </c>
    </row>
    <row r="258" customFormat="false" ht="18" hidden="false" customHeight="true" outlineLevel="0" collapsed="false">
      <c r="A258" s="9"/>
      <c r="B258" s="4" t="str">
        <f aca="false">IF(A258="","",TEXT(A258,"MM-YYYY"))</f>
        <v/>
      </c>
      <c r="C258" s="10" t="s">
        <v>804</v>
      </c>
      <c r="D258" s="11" t="s">
        <v>805</v>
      </c>
      <c r="E258" s="12" t="s">
        <v>305</v>
      </c>
      <c r="F258" s="12" t="s">
        <v>203</v>
      </c>
      <c r="G258" s="10" t="s">
        <v>720</v>
      </c>
      <c r="H258" s="6" t="s">
        <v>22</v>
      </c>
      <c r="I258" s="12"/>
      <c r="J258" s="9"/>
      <c r="K258" s="13" t="str">
        <f aca="true">IF(A258="","",TODAY()-A258)</f>
        <v/>
      </c>
      <c r="L258" s="11" t="s">
        <v>806</v>
      </c>
      <c r="M258" s="10" t="s">
        <v>308</v>
      </c>
      <c r="N258" s="10" t="s">
        <v>309</v>
      </c>
      <c r="O258" s="10" t="s">
        <v>310</v>
      </c>
      <c r="P258" s="14" t="s">
        <v>316</v>
      </c>
    </row>
    <row r="259" customFormat="false" ht="18" hidden="false" customHeight="true" outlineLevel="0" collapsed="false">
      <c r="A259" s="3"/>
      <c r="B259" s="4" t="str">
        <f aca="false">IF(A259="","",TEXT(A259,"MM-YYYY"))</f>
        <v/>
      </c>
      <c r="C259" s="5" t="s">
        <v>807</v>
      </c>
      <c r="D259" s="4" t="s">
        <v>808</v>
      </c>
      <c r="E259" s="6" t="s">
        <v>305</v>
      </c>
      <c r="F259" s="6" t="s">
        <v>203</v>
      </c>
      <c r="G259" s="5" t="s">
        <v>601</v>
      </c>
      <c r="H259" s="6" t="s">
        <v>26</v>
      </c>
      <c r="I259" s="6"/>
      <c r="J259" s="3"/>
      <c r="K259" s="7" t="str">
        <f aca="true">IF(A259="","",TODAY()-A259)</f>
        <v/>
      </c>
      <c r="L259" s="4" t="s">
        <v>809</v>
      </c>
      <c r="M259" s="5" t="s">
        <v>308</v>
      </c>
      <c r="N259" s="5" t="s">
        <v>309</v>
      </c>
      <c r="O259" s="5" t="s">
        <v>310</v>
      </c>
      <c r="P259" s="8" t="s">
        <v>492</v>
      </c>
    </row>
    <row r="260" customFormat="false" ht="18" hidden="false" customHeight="true" outlineLevel="0" collapsed="false">
      <c r="A260" s="9"/>
      <c r="B260" s="4" t="str">
        <f aca="false">IF(A260="","",TEXT(A260,"MM-YYYY"))</f>
        <v/>
      </c>
      <c r="C260" s="10" t="s">
        <v>810</v>
      </c>
      <c r="D260" s="11" t="s">
        <v>811</v>
      </c>
      <c r="E260" s="12" t="s">
        <v>305</v>
      </c>
      <c r="F260" s="12" t="s">
        <v>203</v>
      </c>
      <c r="G260" s="10" t="s">
        <v>425</v>
      </c>
      <c r="H260" s="6" t="s">
        <v>22</v>
      </c>
      <c r="I260" s="12"/>
      <c r="J260" s="9"/>
      <c r="K260" s="13" t="str">
        <f aca="true">IF(A260="","",TODAY()-A260)</f>
        <v/>
      </c>
      <c r="L260" s="11" t="s">
        <v>812</v>
      </c>
      <c r="M260" s="10" t="s">
        <v>308</v>
      </c>
      <c r="N260" s="10" t="s">
        <v>355</v>
      </c>
      <c r="O260" s="10" t="s">
        <v>310</v>
      </c>
      <c r="P260" s="14" t="s">
        <v>712</v>
      </c>
    </row>
    <row r="261" customFormat="false" ht="18" hidden="false" customHeight="true" outlineLevel="0" collapsed="false">
      <c r="A261" s="3"/>
      <c r="B261" s="4" t="str">
        <f aca="false">IF(A261="","",TEXT(A261,"MM-YYYY"))</f>
        <v/>
      </c>
      <c r="C261" s="5" t="s">
        <v>813</v>
      </c>
      <c r="D261" s="4" t="s">
        <v>814</v>
      </c>
      <c r="E261" s="6" t="s">
        <v>305</v>
      </c>
      <c r="F261" s="6" t="s">
        <v>203</v>
      </c>
      <c r="G261" s="5" t="s">
        <v>358</v>
      </c>
      <c r="H261" s="6" t="s">
        <v>26</v>
      </c>
      <c r="I261" s="6"/>
      <c r="J261" s="3"/>
      <c r="K261" s="7" t="str">
        <f aca="true">IF(A261="","",TODAY()-A261)</f>
        <v/>
      </c>
      <c r="L261" s="4" t="s">
        <v>815</v>
      </c>
      <c r="M261" s="5" t="s">
        <v>308</v>
      </c>
      <c r="N261" s="5" t="s">
        <v>309</v>
      </c>
      <c r="O261" s="5" t="s">
        <v>310</v>
      </c>
      <c r="P261" s="8" t="s">
        <v>708</v>
      </c>
    </row>
    <row r="262" customFormat="false" ht="18" hidden="false" customHeight="true" outlineLevel="0" collapsed="false">
      <c r="A262" s="9"/>
      <c r="B262" s="4" t="str">
        <f aca="false">IF(A262="","",TEXT(A262,"MM-YYYY"))</f>
        <v/>
      </c>
      <c r="C262" s="10" t="s">
        <v>816</v>
      </c>
      <c r="D262" s="11" t="s">
        <v>817</v>
      </c>
      <c r="E262" s="12" t="s">
        <v>305</v>
      </c>
      <c r="F262" s="12" t="s">
        <v>203</v>
      </c>
      <c r="G262" s="10" t="s">
        <v>323</v>
      </c>
      <c r="H262" s="6" t="s">
        <v>26</v>
      </c>
      <c r="I262" s="12"/>
      <c r="J262" s="9"/>
      <c r="K262" s="13" t="str">
        <f aca="true">IF(A262="","",TODAY()-A262)</f>
        <v/>
      </c>
      <c r="L262" s="11" t="s">
        <v>818</v>
      </c>
      <c r="M262" s="10" t="s">
        <v>308</v>
      </c>
      <c r="N262" s="10" t="s">
        <v>309</v>
      </c>
      <c r="O262" s="10" t="s">
        <v>310</v>
      </c>
      <c r="P262" s="14" t="s">
        <v>708</v>
      </c>
    </row>
    <row r="263" customFormat="false" ht="18" hidden="false" customHeight="true" outlineLevel="0" collapsed="false">
      <c r="A263" s="3"/>
      <c r="B263" s="4" t="str">
        <f aca="false">IF(A263="","",TEXT(A263,"MM-YYYY"))</f>
        <v/>
      </c>
      <c r="C263" s="5" t="s">
        <v>819</v>
      </c>
      <c r="D263" s="4" t="s">
        <v>820</v>
      </c>
      <c r="E263" s="6" t="s">
        <v>305</v>
      </c>
      <c r="F263" s="6" t="s">
        <v>203</v>
      </c>
      <c r="G263" s="5" t="s">
        <v>306</v>
      </c>
      <c r="H263" s="6" t="s">
        <v>22</v>
      </c>
      <c r="I263" s="6"/>
      <c r="J263" s="3"/>
      <c r="K263" s="7" t="str">
        <f aca="true">IF(A263="","",TODAY()-A263)</f>
        <v/>
      </c>
      <c r="L263" s="4" t="s">
        <v>821</v>
      </c>
      <c r="M263" s="5" t="s">
        <v>308</v>
      </c>
      <c r="N263" s="5" t="s">
        <v>309</v>
      </c>
      <c r="O263" s="5" t="s">
        <v>310</v>
      </c>
      <c r="P263" s="8" t="s">
        <v>316</v>
      </c>
    </row>
    <row r="264" customFormat="false" ht="18" hidden="false" customHeight="true" outlineLevel="0" collapsed="false">
      <c r="A264" s="9"/>
      <c r="B264" s="4" t="str">
        <f aca="false">IF(A264="","",TEXT(A264,"MM-YYYY"))</f>
        <v/>
      </c>
      <c r="C264" s="10" t="s">
        <v>822</v>
      </c>
      <c r="D264" s="11" t="s">
        <v>823</v>
      </c>
      <c r="E264" s="12" t="s">
        <v>305</v>
      </c>
      <c r="F264" s="12" t="s">
        <v>203</v>
      </c>
      <c r="G264" s="10" t="s">
        <v>425</v>
      </c>
      <c r="H264" s="6" t="s">
        <v>22</v>
      </c>
      <c r="I264" s="12"/>
      <c r="J264" s="9"/>
      <c r="K264" s="13" t="str">
        <f aca="true">IF(A264="","",TODAY()-A264)</f>
        <v/>
      </c>
      <c r="L264" s="11" t="s">
        <v>824</v>
      </c>
      <c r="M264" s="10" t="s">
        <v>308</v>
      </c>
      <c r="N264" s="10" t="s">
        <v>309</v>
      </c>
      <c r="O264" s="10" t="s">
        <v>310</v>
      </c>
      <c r="P264" s="14" t="s">
        <v>316</v>
      </c>
    </row>
    <row r="265" customFormat="false" ht="18" hidden="false" customHeight="true" outlineLevel="0" collapsed="false">
      <c r="A265" s="3"/>
      <c r="B265" s="4" t="str">
        <f aca="false">IF(A265="","",TEXT(A265,"MM-YYYY"))</f>
        <v/>
      </c>
      <c r="C265" s="5" t="s">
        <v>825</v>
      </c>
      <c r="D265" s="4" t="s">
        <v>826</v>
      </c>
      <c r="E265" s="6" t="s">
        <v>305</v>
      </c>
      <c r="F265" s="6" t="s">
        <v>203</v>
      </c>
      <c r="G265" s="5" t="s">
        <v>827</v>
      </c>
      <c r="H265" s="6" t="s">
        <v>22</v>
      </c>
      <c r="I265" s="6"/>
      <c r="J265" s="3"/>
      <c r="K265" s="7" t="str">
        <f aca="true">IF(A265="","",TODAY()-A265)</f>
        <v/>
      </c>
      <c r="L265" s="4" t="s">
        <v>828</v>
      </c>
      <c r="M265" s="5" t="s">
        <v>308</v>
      </c>
      <c r="N265" s="5" t="s">
        <v>309</v>
      </c>
      <c r="O265" s="5" t="s">
        <v>310</v>
      </c>
      <c r="P265" s="8" t="s">
        <v>712</v>
      </c>
    </row>
    <row r="266" customFormat="false" ht="18" hidden="false" customHeight="true" outlineLevel="0" collapsed="false">
      <c r="A266" s="9"/>
      <c r="B266" s="4" t="str">
        <f aca="false">IF(A266="","",TEXT(A266,"MM-YYYY"))</f>
        <v/>
      </c>
      <c r="C266" s="10" t="s">
        <v>829</v>
      </c>
      <c r="D266" s="11" t="s">
        <v>830</v>
      </c>
      <c r="E266" s="12" t="s">
        <v>305</v>
      </c>
      <c r="F266" s="12" t="s">
        <v>203</v>
      </c>
      <c r="G266" s="10" t="s">
        <v>366</v>
      </c>
      <c r="H266" s="6" t="s">
        <v>26</v>
      </c>
      <c r="I266" s="12"/>
      <c r="J266" s="9"/>
      <c r="K266" s="13" t="str">
        <f aca="true">IF(A266="","",TODAY()-A266)</f>
        <v/>
      </c>
      <c r="L266" s="11" t="s">
        <v>831</v>
      </c>
      <c r="M266" s="10" t="s">
        <v>308</v>
      </c>
      <c r="N266" s="10" t="s">
        <v>309</v>
      </c>
      <c r="O266" s="10" t="s">
        <v>310</v>
      </c>
      <c r="P266" s="14" t="s">
        <v>492</v>
      </c>
    </row>
    <row r="267" customFormat="false" ht="18" hidden="false" customHeight="true" outlineLevel="0" collapsed="false">
      <c r="A267" s="3"/>
      <c r="B267" s="4" t="str">
        <f aca="false">IF(A267="","",TEXT(A267,"MM-YYYY"))</f>
        <v/>
      </c>
      <c r="C267" s="5" t="s">
        <v>832</v>
      </c>
      <c r="D267" s="4" t="s">
        <v>833</v>
      </c>
      <c r="E267" s="6" t="s">
        <v>305</v>
      </c>
      <c r="F267" s="6" t="s">
        <v>203</v>
      </c>
      <c r="G267" s="5" t="s">
        <v>601</v>
      </c>
      <c r="H267" s="6" t="s">
        <v>22</v>
      </c>
      <c r="I267" s="6"/>
      <c r="J267" s="3"/>
      <c r="K267" s="7" t="str">
        <f aca="true">IF(A267="","",TODAY()-A267)</f>
        <v/>
      </c>
      <c r="L267" s="4" t="s">
        <v>834</v>
      </c>
      <c r="M267" s="5" t="s">
        <v>308</v>
      </c>
      <c r="N267" s="5" t="s">
        <v>309</v>
      </c>
      <c r="O267" s="5" t="s">
        <v>310</v>
      </c>
      <c r="P267" s="8" t="s">
        <v>316</v>
      </c>
    </row>
    <row r="268" customFormat="false" ht="18" hidden="false" customHeight="true" outlineLevel="0" collapsed="false">
      <c r="A268" s="9"/>
      <c r="B268" s="4" t="str">
        <f aca="false">IF(A268="","",TEXT(A268,"MM-YYYY"))</f>
        <v/>
      </c>
      <c r="C268" s="10" t="s">
        <v>835</v>
      </c>
      <c r="D268" s="11" t="s">
        <v>836</v>
      </c>
      <c r="E268" s="12" t="s">
        <v>305</v>
      </c>
      <c r="F268" s="12" t="s">
        <v>203</v>
      </c>
      <c r="G268" s="10" t="s">
        <v>837</v>
      </c>
      <c r="H268" s="6" t="s">
        <v>22</v>
      </c>
      <c r="I268" s="12"/>
      <c r="J268" s="9"/>
      <c r="K268" s="13" t="str">
        <f aca="true">IF(A268="","",TODAY()-A268)</f>
        <v/>
      </c>
      <c r="L268" s="11" t="s">
        <v>838</v>
      </c>
      <c r="M268" s="10" t="s">
        <v>308</v>
      </c>
      <c r="N268" s="10" t="s">
        <v>355</v>
      </c>
      <c r="O268" s="10" t="s">
        <v>310</v>
      </c>
      <c r="P268" s="14" t="s">
        <v>316</v>
      </c>
    </row>
    <row r="269" customFormat="false" ht="18" hidden="false" customHeight="true" outlineLevel="0" collapsed="false">
      <c r="A269" s="3"/>
      <c r="B269" s="4" t="str">
        <f aca="false">IF(A269="","",TEXT(A269,"MM-YYYY"))</f>
        <v/>
      </c>
      <c r="C269" s="5" t="s">
        <v>839</v>
      </c>
      <c r="D269" s="4" t="s">
        <v>840</v>
      </c>
      <c r="E269" s="6" t="s">
        <v>305</v>
      </c>
      <c r="F269" s="6" t="s">
        <v>203</v>
      </c>
      <c r="G269" s="5" t="s">
        <v>319</v>
      </c>
      <c r="H269" s="6" t="s">
        <v>766</v>
      </c>
      <c r="I269" s="6" t="s">
        <v>767</v>
      </c>
      <c r="J269" s="3"/>
      <c r="K269" s="7" t="str">
        <f aca="true">IF(A269="","",TODAY()-A269)</f>
        <v/>
      </c>
      <c r="L269" s="4" t="s">
        <v>841</v>
      </c>
      <c r="M269" s="5" t="s">
        <v>308</v>
      </c>
      <c r="N269" s="5" t="s">
        <v>309</v>
      </c>
      <c r="O269" s="5" t="s">
        <v>310</v>
      </c>
      <c r="P269" s="8" t="s">
        <v>767</v>
      </c>
    </row>
    <row r="270" customFormat="false" ht="18" hidden="false" customHeight="true" outlineLevel="0" collapsed="false">
      <c r="A270" s="9"/>
      <c r="B270" s="4" t="str">
        <f aca="false">IF(A270="","",TEXT(A270,"MM-YYYY"))</f>
        <v/>
      </c>
      <c r="C270" s="10" t="s">
        <v>842</v>
      </c>
      <c r="D270" s="11" t="s">
        <v>843</v>
      </c>
      <c r="E270" s="12" t="s">
        <v>305</v>
      </c>
      <c r="F270" s="12" t="s">
        <v>203</v>
      </c>
      <c r="G270" s="10" t="s">
        <v>306</v>
      </c>
      <c r="H270" s="6" t="s">
        <v>22</v>
      </c>
      <c r="I270" s="12"/>
      <c r="J270" s="9"/>
      <c r="K270" s="13" t="str">
        <f aca="true">IF(A270="","",TODAY()-A270)</f>
        <v/>
      </c>
      <c r="L270" s="11" t="s">
        <v>844</v>
      </c>
      <c r="M270" s="10" t="s">
        <v>308</v>
      </c>
      <c r="N270" s="10" t="s">
        <v>309</v>
      </c>
      <c r="O270" s="10" t="s">
        <v>310</v>
      </c>
      <c r="P270" s="14" t="s">
        <v>316</v>
      </c>
    </row>
    <row r="271" customFormat="false" ht="18" hidden="false" customHeight="true" outlineLevel="0" collapsed="false">
      <c r="A271" s="3"/>
      <c r="B271" s="4" t="str">
        <f aca="false">IF(A271="","",TEXT(A271,"MM-YYYY"))</f>
        <v/>
      </c>
      <c r="C271" s="5" t="s">
        <v>845</v>
      </c>
      <c r="D271" s="4" t="s">
        <v>846</v>
      </c>
      <c r="E271" s="6" t="s">
        <v>305</v>
      </c>
      <c r="F271" s="6" t="s">
        <v>203</v>
      </c>
      <c r="G271" s="5" t="s">
        <v>422</v>
      </c>
      <c r="H271" s="6" t="s">
        <v>22</v>
      </c>
      <c r="I271" s="6"/>
      <c r="J271" s="3"/>
      <c r="K271" s="7" t="str">
        <f aca="true">IF(A271="","",TODAY()-A271)</f>
        <v/>
      </c>
      <c r="L271" s="4" t="s">
        <v>847</v>
      </c>
      <c r="M271" s="5" t="s">
        <v>308</v>
      </c>
      <c r="N271" s="5" t="s">
        <v>355</v>
      </c>
      <c r="O271" s="5" t="s">
        <v>310</v>
      </c>
      <c r="P271" s="8" t="s">
        <v>316</v>
      </c>
    </row>
    <row r="272" customFormat="false" ht="18" hidden="false" customHeight="true" outlineLevel="0" collapsed="false">
      <c r="A272" s="9"/>
      <c r="B272" s="4" t="str">
        <f aca="false">IF(A272="","",TEXT(A272,"MM-YYYY"))</f>
        <v/>
      </c>
      <c r="C272" s="10" t="s">
        <v>848</v>
      </c>
      <c r="D272" s="11" t="s">
        <v>849</v>
      </c>
      <c r="E272" s="12" t="s">
        <v>305</v>
      </c>
      <c r="F272" s="12" t="s">
        <v>203</v>
      </c>
      <c r="G272" s="10" t="s">
        <v>418</v>
      </c>
      <c r="H272" s="6" t="s">
        <v>22</v>
      </c>
      <c r="I272" s="12"/>
      <c r="J272" s="9"/>
      <c r="K272" s="13" t="str">
        <f aca="true">IF(A272="","",TODAY()-A272)</f>
        <v/>
      </c>
      <c r="L272" s="11" t="s">
        <v>850</v>
      </c>
      <c r="M272" s="10" t="s">
        <v>308</v>
      </c>
      <c r="N272" s="10" t="s">
        <v>355</v>
      </c>
      <c r="O272" s="10" t="s">
        <v>310</v>
      </c>
      <c r="P272" s="14" t="s">
        <v>316</v>
      </c>
    </row>
    <row r="273" customFormat="false" ht="18" hidden="false" customHeight="true" outlineLevel="0" collapsed="false">
      <c r="A273" s="3"/>
      <c r="B273" s="4" t="str">
        <f aca="false">IF(A273="","",TEXT(A273,"MM-YYYY"))</f>
        <v/>
      </c>
      <c r="C273" s="5" t="s">
        <v>851</v>
      </c>
      <c r="D273" s="4" t="s">
        <v>852</v>
      </c>
      <c r="E273" s="6" t="s">
        <v>305</v>
      </c>
      <c r="F273" s="6" t="s">
        <v>203</v>
      </c>
      <c r="G273" s="5" t="s">
        <v>751</v>
      </c>
      <c r="H273" s="6" t="s">
        <v>22</v>
      </c>
      <c r="I273" s="6"/>
      <c r="J273" s="3"/>
      <c r="K273" s="7" t="str">
        <f aca="true">IF(A273="","",TODAY()-A273)</f>
        <v/>
      </c>
      <c r="L273" s="4" t="s">
        <v>853</v>
      </c>
      <c r="M273" s="5" t="s">
        <v>308</v>
      </c>
      <c r="N273" s="5" t="s">
        <v>309</v>
      </c>
      <c r="O273" s="5" t="s">
        <v>310</v>
      </c>
      <c r="P273" s="8" t="s">
        <v>311</v>
      </c>
    </row>
    <row r="274" customFormat="false" ht="18" hidden="false" customHeight="true" outlineLevel="0" collapsed="false">
      <c r="A274" s="9"/>
      <c r="B274" s="4" t="str">
        <f aca="false">IF(A274="","",TEXT(A274,"MM-YYYY"))</f>
        <v/>
      </c>
      <c r="C274" s="10" t="s">
        <v>854</v>
      </c>
      <c r="D274" s="11" t="s">
        <v>855</v>
      </c>
      <c r="E274" s="12" t="s">
        <v>305</v>
      </c>
      <c r="F274" s="12" t="s">
        <v>203</v>
      </c>
      <c r="G274" s="10" t="s">
        <v>856</v>
      </c>
      <c r="H274" s="6" t="s">
        <v>22</v>
      </c>
      <c r="I274" s="12"/>
      <c r="J274" s="9"/>
      <c r="K274" s="13" t="str">
        <f aca="true">IF(A274="","",TODAY()-A274)</f>
        <v/>
      </c>
      <c r="L274" s="11" t="s">
        <v>857</v>
      </c>
      <c r="M274" s="10" t="s">
        <v>308</v>
      </c>
      <c r="N274" s="10" t="s">
        <v>309</v>
      </c>
      <c r="O274" s="10" t="s">
        <v>310</v>
      </c>
      <c r="P274" s="14" t="s">
        <v>316</v>
      </c>
    </row>
    <row r="275" customFormat="false" ht="18" hidden="false" customHeight="true" outlineLevel="0" collapsed="false">
      <c r="A275" s="3"/>
      <c r="B275" s="4" t="str">
        <f aca="false">IF(A275="","",TEXT(A275,"MM-YYYY"))</f>
        <v/>
      </c>
      <c r="C275" s="5" t="s">
        <v>858</v>
      </c>
      <c r="D275" s="4" t="s">
        <v>859</v>
      </c>
      <c r="E275" s="6" t="s">
        <v>305</v>
      </c>
      <c r="F275" s="6" t="s">
        <v>203</v>
      </c>
      <c r="G275" s="5" t="s">
        <v>453</v>
      </c>
      <c r="H275" s="6" t="s">
        <v>22</v>
      </c>
      <c r="I275" s="6"/>
      <c r="J275" s="3"/>
      <c r="K275" s="7" t="str">
        <f aca="true">IF(A275="","",TODAY()-A275)</f>
        <v/>
      </c>
      <c r="L275" s="4" t="s">
        <v>860</v>
      </c>
      <c r="M275" s="5" t="s">
        <v>308</v>
      </c>
      <c r="N275" s="5" t="s">
        <v>309</v>
      </c>
      <c r="O275" s="5" t="s">
        <v>310</v>
      </c>
      <c r="P275" s="8" t="s">
        <v>316</v>
      </c>
    </row>
    <row r="276" customFormat="false" ht="18" hidden="false" customHeight="true" outlineLevel="0" collapsed="false">
      <c r="A276" s="9"/>
      <c r="B276" s="4" t="str">
        <f aca="false">IF(A276="","",TEXT(A276,"MM-YYYY"))</f>
        <v/>
      </c>
      <c r="C276" s="10" t="s">
        <v>861</v>
      </c>
      <c r="D276" s="11" t="s">
        <v>862</v>
      </c>
      <c r="E276" s="12" t="s">
        <v>305</v>
      </c>
      <c r="F276" s="12" t="s">
        <v>203</v>
      </c>
      <c r="G276" s="10" t="s">
        <v>863</v>
      </c>
      <c r="H276" s="6" t="s">
        <v>22</v>
      </c>
      <c r="I276" s="12"/>
      <c r="J276" s="9"/>
      <c r="K276" s="13" t="str">
        <f aca="true">IF(A276="","",TODAY()-A276)</f>
        <v/>
      </c>
      <c r="L276" s="11" t="s">
        <v>864</v>
      </c>
      <c r="M276" s="10" t="s">
        <v>348</v>
      </c>
      <c r="N276" s="10" t="s">
        <v>368</v>
      </c>
      <c r="O276" s="10" t="s">
        <v>350</v>
      </c>
      <c r="P276" s="14" t="s">
        <v>316</v>
      </c>
    </row>
    <row r="277" customFormat="false" ht="18" hidden="false" customHeight="true" outlineLevel="0" collapsed="false">
      <c r="A277" s="3"/>
      <c r="B277" s="4" t="str">
        <f aca="false">IF(A277="","",TEXT(A277,"MM-YYYY"))</f>
        <v/>
      </c>
      <c r="C277" s="5" t="s">
        <v>865</v>
      </c>
      <c r="D277" s="4" t="s">
        <v>866</v>
      </c>
      <c r="E277" s="6" t="s">
        <v>305</v>
      </c>
      <c r="F277" s="6" t="s">
        <v>203</v>
      </c>
      <c r="G277" s="5" t="s">
        <v>867</v>
      </c>
      <c r="H277" s="6" t="s">
        <v>22</v>
      </c>
      <c r="I277" s="6"/>
      <c r="J277" s="3"/>
      <c r="K277" s="7" t="str">
        <f aca="true">IF(A277="","",TODAY()-A277)</f>
        <v/>
      </c>
      <c r="L277" s="4" t="s">
        <v>868</v>
      </c>
      <c r="M277" s="5" t="s">
        <v>348</v>
      </c>
      <c r="N277" s="5" t="s">
        <v>368</v>
      </c>
      <c r="O277" s="5" t="s">
        <v>350</v>
      </c>
      <c r="P277" s="8" t="s">
        <v>869</v>
      </c>
    </row>
    <row r="278" customFormat="false" ht="18" hidden="false" customHeight="true" outlineLevel="0" collapsed="false">
      <c r="A278" s="9"/>
      <c r="B278" s="4" t="str">
        <f aca="false">IF(A278="","",TEXT(A278,"MM-YYYY"))</f>
        <v/>
      </c>
      <c r="C278" s="10" t="s">
        <v>870</v>
      </c>
      <c r="D278" s="11" t="s">
        <v>871</v>
      </c>
      <c r="E278" s="12" t="s">
        <v>305</v>
      </c>
      <c r="F278" s="12" t="s">
        <v>203</v>
      </c>
      <c r="G278" s="10" t="s">
        <v>358</v>
      </c>
      <c r="H278" s="6" t="s">
        <v>22</v>
      </c>
      <c r="I278" s="12"/>
      <c r="J278" s="9"/>
      <c r="K278" s="13" t="str">
        <f aca="true">IF(A278="","",TODAY()-A278)</f>
        <v/>
      </c>
      <c r="L278" s="11" t="s">
        <v>872</v>
      </c>
      <c r="M278" s="10" t="s">
        <v>308</v>
      </c>
      <c r="N278" s="10" t="s">
        <v>309</v>
      </c>
      <c r="O278" s="10" t="s">
        <v>310</v>
      </c>
      <c r="P278" s="14" t="s">
        <v>316</v>
      </c>
    </row>
    <row r="279" customFormat="false" ht="18" hidden="false" customHeight="true" outlineLevel="0" collapsed="false">
      <c r="A279" s="3"/>
      <c r="B279" s="4" t="str">
        <f aca="false">IF(A279="","",TEXT(A279,"MM-YYYY"))</f>
        <v/>
      </c>
      <c r="C279" s="5" t="s">
        <v>873</v>
      </c>
      <c r="D279" s="4" t="s">
        <v>874</v>
      </c>
      <c r="E279" s="6" t="s">
        <v>305</v>
      </c>
      <c r="F279" s="6" t="s">
        <v>203</v>
      </c>
      <c r="G279" s="5" t="s">
        <v>720</v>
      </c>
      <c r="H279" s="6" t="s">
        <v>22</v>
      </c>
      <c r="I279" s="6"/>
      <c r="J279" s="3"/>
      <c r="K279" s="7" t="str">
        <f aca="true">IF(A279="","",TODAY()-A279)</f>
        <v/>
      </c>
      <c r="L279" s="4" t="s">
        <v>875</v>
      </c>
      <c r="M279" s="5" t="s">
        <v>308</v>
      </c>
      <c r="N279" s="5" t="s">
        <v>309</v>
      </c>
      <c r="O279" s="5" t="s">
        <v>310</v>
      </c>
      <c r="P279" s="8" t="s">
        <v>391</v>
      </c>
    </row>
    <row r="280" customFormat="false" ht="18" hidden="false" customHeight="true" outlineLevel="0" collapsed="false">
      <c r="A280" s="9"/>
      <c r="B280" s="4" t="str">
        <f aca="false">IF(A280="","",TEXT(A280,"MM-YYYY"))</f>
        <v/>
      </c>
      <c r="C280" s="10" t="s">
        <v>876</v>
      </c>
      <c r="D280" s="11" t="s">
        <v>877</v>
      </c>
      <c r="E280" s="12" t="s">
        <v>305</v>
      </c>
      <c r="F280" s="12" t="s">
        <v>203</v>
      </c>
      <c r="G280" s="10" t="s">
        <v>366</v>
      </c>
      <c r="H280" s="6" t="s">
        <v>22</v>
      </c>
      <c r="I280" s="12"/>
      <c r="J280" s="9"/>
      <c r="K280" s="13" t="str">
        <f aca="true">IF(A280="","",TODAY()-A280)</f>
        <v/>
      </c>
      <c r="L280" s="11" t="s">
        <v>878</v>
      </c>
      <c r="M280" s="10" t="s">
        <v>348</v>
      </c>
      <c r="N280" s="10" t="s">
        <v>368</v>
      </c>
      <c r="O280" s="10" t="s">
        <v>350</v>
      </c>
      <c r="P280" s="14" t="s">
        <v>674</v>
      </c>
    </row>
    <row r="281" customFormat="false" ht="18" hidden="false" customHeight="true" outlineLevel="0" collapsed="false">
      <c r="A281" s="3"/>
      <c r="B281" s="4" t="str">
        <f aca="false">IF(A281="","",TEXT(A281,"MM-YYYY"))</f>
        <v/>
      </c>
      <c r="C281" s="5" t="s">
        <v>879</v>
      </c>
      <c r="D281" s="4" t="s">
        <v>880</v>
      </c>
      <c r="E281" s="6" t="s">
        <v>305</v>
      </c>
      <c r="F281" s="6" t="s">
        <v>203</v>
      </c>
      <c r="G281" s="5" t="s">
        <v>608</v>
      </c>
      <c r="H281" s="6" t="s">
        <v>26</v>
      </c>
      <c r="I281" s="6"/>
      <c r="J281" s="3"/>
      <c r="K281" s="7" t="str">
        <f aca="true">IF(A281="","",TODAY()-A281)</f>
        <v/>
      </c>
      <c r="L281" s="4" t="s">
        <v>881</v>
      </c>
      <c r="M281" s="5" t="s">
        <v>308</v>
      </c>
      <c r="N281" s="5" t="s">
        <v>309</v>
      </c>
      <c r="O281" s="5" t="s">
        <v>310</v>
      </c>
      <c r="P281" s="8" t="s">
        <v>492</v>
      </c>
    </row>
    <row r="282" customFormat="false" ht="18" hidden="false" customHeight="true" outlineLevel="0" collapsed="false">
      <c r="A282" s="9"/>
      <c r="B282" s="4" t="str">
        <f aca="false">IF(A282="","",TEXT(A282,"MM-YYYY"))</f>
        <v/>
      </c>
      <c r="C282" s="10" t="s">
        <v>882</v>
      </c>
      <c r="D282" s="11" t="s">
        <v>883</v>
      </c>
      <c r="E282" s="12" t="s">
        <v>305</v>
      </c>
      <c r="F282" s="12" t="s">
        <v>203</v>
      </c>
      <c r="G282" s="10" t="s">
        <v>425</v>
      </c>
      <c r="H282" s="6" t="s">
        <v>22</v>
      </c>
      <c r="I282" s="12"/>
      <c r="J282" s="9"/>
      <c r="K282" s="13" t="str">
        <f aca="true">IF(A282="","",TODAY()-A282)</f>
        <v/>
      </c>
      <c r="L282" s="11" t="s">
        <v>884</v>
      </c>
      <c r="M282" s="10" t="s">
        <v>308</v>
      </c>
      <c r="N282" s="10" t="s">
        <v>309</v>
      </c>
      <c r="O282" s="10" t="s">
        <v>310</v>
      </c>
      <c r="P282" s="14" t="s">
        <v>311</v>
      </c>
    </row>
    <row r="283" customFormat="false" ht="18" hidden="false" customHeight="true" outlineLevel="0" collapsed="false">
      <c r="A283" s="3"/>
      <c r="B283" s="4" t="str">
        <f aca="false">IF(A283="","",TEXT(A283,"MM-YYYY"))</f>
        <v/>
      </c>
      <c r="C283" s="5" t="s">
        <v>885</v>
      </c>
      <c r="D283" s="4" t="s">
        <v>886</v>
      </c>
      <c r="E283" s="6" t="s">
        <v>305</v>
      </c>
      <c r="F283" s="6" t="s">
        <v>203</v>
      </c>
      <c r="G283" s="5" t="s">
        <v>366</v>
      </c>
      <c r="H283" s="6" t="s">
        <v>22</v>
      </c>
      <c r="I283" s="6"/>
      <c r="J283" s="3"/>
      <c r="K283" s="7" t="str">
        <f aca="true">IF(A283="","",TODAY()-A283)</f>
        <v/>
      </c>
      <c r="L283" s="4" t="s">
        <v>887</v>
      </c>
      <c r="M283" s="5" t="s">
        <v>348</v>
      </c>
      <c r="N283" s="5" t="s">
        <v>368</v>
      </c>
      <c r="O283" s="5" t="s">
        <v>350</v>
      </c>
      <c r="P283" s="8" t="s">
        <v>712</v>
      </c>
    </row>
    <row r="284" customFormat="false" ht="18" hidden="false" customHeight="true" outlineLevel="0" collapsed="false">
      <c r="A284" s="9"/>
      <c r="B284" s="4" t="str">
        <f aca="false">IF(A284="","",TEXT(A284,"MM-YYYY"))</f>
        <v/>
      </c>
      <c r="C284" s="10" t="s">
        <v>888</v>
      </c>
      <c r="D284" s="11" t="s">
        <v>889</v>
      </c>
      <c r="E284" s="12" t="s">
        <v>305</v>
      </c>
      <c r="F284" s="12" t="s">
        <v>203</v>
      </c>
      <c r="G284" s="10" t="s">
        <v>516</v>
      </c>
      <c r="H284" s="6" t="s">
        <v>22</v>
      </c>
      <c r="I284" s="12"/>
      <c r="J284" s="9"/>
      <c r="K284" s="13" t="str">
        <f aca="true">IF(A284="","",TODAY()-A284)</f>
        <v/>
      </c>
      <c r="L284" s="11" t="s">
        <v>890</v>
      </c>
      <c r="M284" s="10" t="s">
        <v>308</v>
      </c>
      <c r="N284" s="10" t="s">
        <v>309</v>
      </c>
      <c r="O284" s="10" t="s">
        <v>310</v>
      </c>
      <c r="P284" s="14" t="s">
        <v>316</v>
      </c>
    </row>
    <row r="285" customFormat="false" ht="18" hidden="false" customHeight="true" outlineLevel="0" collapsed="false">
      <c r="A285" s="3"/>
      <c r="B285" s="4" t="str">
        <f aca="false">IF(A285="","",TEXT(A285,"MM-YYYY"))</f>
        <v/>
      </c>
      <c r="C285" s="5" t="s">
        <v>891</v>
      </c>
      <c r="D285" s="4" t="s">
        <v>892</v>
      </c>
      <c r="E285" s="6" t="s">
        <v>305</v>
      </c>
      <c r="F285" s="6" t="s">
        <v>203</v>
      </c>
      <c r="G285" s="5" t="s">
        <v>314</v>
      </c>
      <c r="H285" s="6" t="s">
        <v>22</v>
      </c>
      <c r="I285" s="6"/>
      <c r="J285" s="3"/>
      <c r="K285" s="7" t="str">
        <f aca="true">IF(A285="","",TODAY()-A285)</f>
        <v/>
      </c>
      <c r="L285" s="4" t="s">
        <v>893</v>
      </c>
      <c r="M285" s="5" t="s">
        <v>308</v>
      </c>
      <c r="N285" s="5" t="s">
        <v>309</v>
      </c>
      <c r="O285" s="5" t="s">
        <v>310</v>
      </c>
      <c r="P285" s="8" t="s">
        <v>316</v>
      </c>
    </row>
    <row r="286" customFormat="false" ht="18" hidden="false" customHeight="true" outlineLevel="0" collapsed="false">
      <c r="A286" s="9"/>
      <c r="B286" s="4" t="str">
        <f aca="false">IF(A286="","",TEXT(A286,"MM-YYYY"))</f>
        <v/>
      </c>
      <c r="C286" s="10" t="s">
        <v>894</v>
      </c>
      <c r="D286" s="11" t="s">
        <v>895</v>
      </c>
      <c r="E286" s="12" t="s">
        <v>305</v>
      </c>
      <c r="F286" s="12" t="s">
        <v>203</v>
      </c>
      <c r="G286" s="10" t="s">
        <v>516</v>
      </c>
      <c r="H286" s="6" t="s">
        <v>766</v>
      </c>
      <c r="I286" s="12" t="s">
        <v>767</v>
      </c>
      <c r="J286" s="9"/>
      <c r="K286" s="13" t="str">
        <f aca="true">IF(A286="","",TODAY()-A286)</f>
        <v/>
      </c>
      <c r="L286" s="11" t="s">
        <v>896</v>
      </c>
      <c r="M286" s="10" t="s">
        <v>308</v>
      </c>
      <c r="N286" s="10" t="s">
        <v>309</v>
      </c>
      <c r="O286" s="10" t="s">
        <v>310</v>
      </c>
      <c r="P286" s="14" t="s">
        <v>767</v>
      </c>
    </row>
    <row r="287" customFormat="false" ht="18" hidden="false" customHeight="true" outlineLevel="0" collapsed="false">
      <c r="A287" s="3"/>
      <c r="B287" s="4" t="str">
        <f aca="false">IF(A287="","",TEXT(A287,"MM-YYYY"))</f>
        <v/>
      </c>
      <c r="C287" s="5" t="s">
        <v>897</v>
      </c>
      <c r="D287" s="4" t="s">
        <v>898</v>
      </c>
      <c r="E287" s="6" t="s">
        <v>305</v>
      </c>
      <c r="F287" s="6" t="s">
        <v>203</v>
      </c>
      <c r="G287" s="5" t="s">
        <v>516</v>
      </c>
      <c r="H287" s="6" t="s">
        <v>22</v>
      </c>
      <c r="I287" s="6"/>
      <c r="J287" s="3"/>
      <c r="K287" s="7" t="str">
        <f aca="true">IF(A287="","",TODAY()-A287)</f>
        <v/>
      </c>
      <c r="L287" s="4" t="s">
        <v>899</v>
      </c>
      <c r="M287" s="5" t="s">
        <v>308</v>
      </c>
      <c r="N287" s="5" t="s">
        <v>309</v>
      </c>
      <c r="O287" s="5" t="s">
        <v>310</v>
      </c>
      <c r="P287" s="8" t="s">
        <v>712</v>
      </c>
    </row>
    <row r="288" customFormat="false" ht="18" hidden="false" customHeight="true" outlineLevel="0" collapsed="false">
      <c r="A288" s="9"/>
      <c r="B288" s="4" t="str">
        <f aca="false">IF(A288="","",TEXT(A288,"MM-YYYY"))</f>
        <v/>
      </c>
      <c r="C288" s="10" t="s">
        <v>900</v>
      </c>
      <c r="D288" s="11" t="s">
        <v>901</v>
      </c>
      <c r="E288" s="12" t="s">
        <v>305</v>
      </c>
      <c r="F288" s="12" t="s">
        <v>203</v>
      </c>
      <c r="G288" s="10" t="s">
        <v>306</v>
      </c>
      <c r="H288" s="6" t="s">
        <v>22</v>
      </c>
      <c r="I288" s="12"/>
      <c r="J288" s="9"/>
      <c r="K288" s="13" t="str">
        <f aca="true">IF(A288="","",TODAY()-A288)</f>
        <v/>
      </c>
      <c r="L288" s="11" t="s">
        <v>902</v>
      </c>
      <c r="M288" s="10" t="s">
        <v>308</v>
      </c>
      <c r="N288" s="10" t="s">
        <v>309</v>
      </c>
      <c r="O288" s="10" t="s">
        <v>310</v>
      </c>
      <c r="P288" s="14" t="s">
        <v>712</v>
      </c>
    </row>
    <row r="289" customFormat="false" ht="18" hidden="false" customHeight="true" outlineLevel="0" collapsed="false">
      <c r="A289" s="3"/>
      <c r="B289" s="4" t="str">
        <f aca="false">IF(A289="","",TEXT(A289,"MM-YYYY"))</f>
        <v/>
      </c>
      <c r="C289" s="5" t="s">
        <v>903</v>
      </c>
      <c r="D289" s="4" t="s">
        <v>904</v>
      </c>
      <c r="E289" s="6" t="s">
        <v>305</v>
      </c>
      <c r="F289" s="6" t="s">
        <v>203</v>
      </c>
      <c r="G289" s="5" t="s">
        <v>905</v>
      </c>
      <c r="H289" s="6" t="s">
        <v>22</v>
      </c>
      <c r="I289" s="6"/>
      <c r="J289" s="3"/>
      <c r="K289" s="7" t="str">
        <f aca="true">IF(A289="","",TODAY()-A289)</f>
        <v/>
      </c>
      <c r="L289" s="4" t="s">
        <v>906</v>
      </c>
      <c r="M289" s="5" t="s">
        <v>308</v>
      </c>
      <c r="N289" s="5" t="s">
        <v>309</v>
      </c>
      <c r="O289" s="5" t="s">
        <v>310</v>
      </c>
      <c r="P289" s="8" t="s">
        <v>712</v>
      </c>
    </row>
    <row r="290" customFormat="false" ht="18" hidden="false" customHeight="true" outlineLevel="0" collapsed="false">
      <c r="A290" s="9"/>
      <c r="B290" s="4" t="str">
        <f aca="false">IF(A290="","",TEXT(A290,"MM-YYYY"))</f>
        <v/>
      </c>
      <c r="C290" s="10" t="s">
        <v>907</v>
      </c>
      <c r="D290" s="11" t="s">
        <v>908</v>
      </c>
      <c r="E290" s="12" t="s">
        <v>305</v>
      </c>
      <c r="F290" s="12" t="s">
        <v>203</v>
      </c>
      <c r="G290" s="10" t="s">
        <v>404</v>
      </c>
      <c r="H290" s="6" t="s">
        <v>22</v>
      </c>
      <c r="I290" s="12"/>
      <c r="J290" s="9"/>
      <c r="K290" s="13" t="str">
        <f aca="true">IF(A290="","",TODAY()-A290)</f>
        <v/>
      </c>
      <c r="L290" s="11" t="s">
        <v>909</v>
      </c>
      <c r="M290" s="10" t="s">
        <v>308</v>
      </c>
      <c r="N290" s="10" t="s">
        <v>309</v>
      </c>
      <c r="O290" s="10" t="s">
        <v>310</v>
      </c>
      <c r="P290" s="14" t="s">
        <v>316</v>
      </c>
    </row>
    <row r="291" customFormat="false" ht="18" hidden="false" customHeight="true" outlineLevel="0" collapsed="false">
      <c r="A291" s="3"/>
      <c r="B291" s="4" t="str">
        <f aca="false">IF(A291="","",TEXT(A291,"MM-YYYY"))</f>
        <v/>
      </c>
      <c r="C291" s="5" t="s">
        <v>910</v>
      </c>
      <c r="D291" s="4" t="s">
        <v>911</v>
      </c>
      <c r="E291" s="6" t="s">
        <v>305</v>
      </c>
      <c r="F291" s="6" t="s">
        <v>203</v>
      </c>
      <c r="G291" s="5" t="s">
        <v>358</v>
      </c>
      <c r="H291" s="6" t="s">
        <v>22</v>
      </c>
      <c r="I291" s="6"/>
      <c r="J291" s="3"/>
      <c r="K291" s="7" t="str">
        <f aca="true">IF(A291="","",TODAY()-A291)</f>
        <v/>
      </c>
      <c r="L291" s="4" t="s">
        <v>912</v>
      </c>
      <c r="M291" s="5" t="s">
        <v>308</v>
      </c>
      <c r="N291" s="5" t="s">
        <v>309</v>
      </c>
      <c r="O291" s="5" t="s">
        <v>310</v>
      </c>
      <c r="P291" s="8" t="s">
        <v>316</v>
      </c>
    </row>
    <row r="292" customFormat="false" ht="18" hidden="false" customHeight="true" outlineLevel="0" collapsed="false">
      <c r="A292" s="9"/>
      <c r="B292" s="4" t="str">
        <f aca="false">IF(A292="","",TEXT(A292,"MM-YYYY"))</f>
        <v/>
      </c>
      <c r="C292" s="10" t="s">
        <v>913</v>
      </c>
      <c r="D292" s="11" t="s">
        <v>914</v>
      </c>
      <c r="E292" s="12" t="s">
        <v>305</v>
      </c>
      <c r="F292" s="12" t="s">
        <v>203</v>
      </c>
      <c r="G292" s="10" t="s">
        <v>915</v>
      </c>
      <c r="H292" s="6" t="s">
        <v>22</v>
      </c>
      <c r="I292" s="12"/>
      <c r="J292" s="9"/>
      <c r="K292" s="13" t="str">
        <f aca="true">IF(A292="","",TODAY()-A292)</f>
        <v/>
      </c>
      <c r="L292" s="11" t="s">
        <v>916</v>
      </c>
      <c r="M292" s="10" t="s">
        <v>308</v>
      </c>
      <c r="N292" s="10" t="s">
        <v>309</v>
      </c>
      <c r="O292" s="10" t="s">
        <v>310</v>
      </c>
      <c r="P292" s="14" t="s">
        <v>316</v>
      </c>
    </row>
    <row r="293" customFormat="false" ht="18" hidden="false" customHeight="true" outlineLevel="0" collapsed="false">
      <c r="A293" s="3"/>
      <c r="B293" s="4" t="str">
        <f aca="false">IF(A293="","",TEXT(A293,"MM-YYYY"))</f>
        <v/>
      </c>
      <c r="C293" s="5" t="s">
        <v>917</v>
      </c>
      <c r="D293" s="4" t="s">
        <v>918</v>
      </c>
      <c r="E293" s="6" t="s">
        <v>305</v>
      </c>
      <c r="F293" s="6" t="s">
        <v>203</v>
      </c>
      <c r="G293" s="5" t="s">
        <v>919</v>
      </c>
      <c r="H293" s="6" t="s">
        <v>26</v>
      </c>
      <c r="I293" s="6"/>
      <c r="J293" s="3"/>
      <c r="K293" s="7" t="str">
        <f aca="true">IF(A293="","",TODAY()-A293)</f>
        <v/>
      </c>
      <c r="L293" s="4" t="s">
        <v>920</v>
      </c>
      <c r="M293" s="5" t="s">
        <v>308</v>
      </c>
      <c r="N293" s="5" t="s">
        <v>309</v>
      </c>
      <c r="O293" s="5" t="s">
        <v>310</v>
      </c>
      <c r="P293" s="8" t="s">
        <v>492</v>
      </c>
    </row>
    <row r="294" customFormat="false" ht="18" hidden="false" customHeight="true" outlineLevel="0" collapsed="false">
      <c r="A294" s="9"/>
      <c r="B294" s="4" t="str">
        <f aca="false">IF(A294="","",TEXT(A294,"MM-YYYY"))</f>
        <v/>
      </c>
      <c r="C294" s="10" t="s">
        <v>921</v>
      </c>
      <c r="D294" s="11" t="s">
        <v>922</v>
      </c>
      <c r="E294" s="12" t="s">
        <v>305</v>
      </c>
      <c r="F294" s="12" t="s">
        <v>203</v>
      </c>
      <c r="G294" s="10" t="s">
        <v>915</v>
      </c>
      <c r="H294" s="6" t="s">
        <v>22</v>
      </c>
      <c r="I294" s="12"/>
      <c r="J294" s="9"/>
      <c r="K294" s="13" t="str">
        <f aca="true">IF(A294="","",TODAY()-A294)</f>
        <v/>
      </c>
      <c r="L294" s="11" t="s">
        <v>923</v>
      </c>
      <c r="M294" s="10" t="s">
        <v>308</v>
      </c>
      <c r="N294" s="10" t="s">
        <v>309</v>
      </c>
      <c r="O294" s="10" t="s">
        <v>310</v>
      </c>
      <c r="P294" s="14" t="s">
        <v>336</v>
      </c>
    </row>
    <row r="295" customFormat="false" ht="18" hidden="false" customHeight="true" outlineLevel="0" collapsed="false">
      <c r="A295" s="3"/>
      <c r="B295" s="4" t="str">
        <f aca="false">IF(A295="","",TEXT(A295,"MM-YYYY"))</f>
        <v/>
      </c>
      <c r="C295" s="5" t="s">
        <v>924</v>
      </c>
      <c r="D295" s="4" t="s">
        <v>925</v>
      </c>
      <c r="E295" s="6" t="s">
        <v>305</v>
      </c>
      <c r="F295" s="6" t="s">
        <v>203</v>
      </c>
      <c r="G295" s="5" t="s">
        <v>926</v>
      </c>
      <c r="H295" s="6" t="s">
        <v>22</v>
      </c>
      <c r="I295" s="6"/>
      <c r="J295" s="3"/>
      <c r="K295" s="7" t="str">
        <f aca="true">IF(A295="","",TODAY()-A295)</f>
        <v/>
      </c>
      <c r="L295" s="4" t="s">
        <v>927</v>
      </c>
      <c r="M295" s="5" t="s">
        <v>348</v>
      </c>
      <c r="N295" s="5" t="s">
        <v>368</v>
      </c>
      <c r="O295" s="5" t="s">
        <v>350</v>
      </c>
      <c r="P295" s="8" t="s">
        <v>928</v>
      </c>
    </row>
    <row r="296" customFormat="false" ht="18" hidden="false" customHeight="true" outlineLevel="0" collapsed="false">
      <c r="A296" s="9"/>
      <c r="B296" s="4" t="str">
        <f aca="false">IF(A296="","",TEXT(A296,"MM-YYYY"))</f>
        <v/>
      </c>
      <c r="C296" s="10" t="s">
        <v>929</v>
      </c>
      <c r="D296" s="11" t="s">
        <v>930</v>
      </c>
      <c r="E296" s="12" t="s">
        <v>305</v>
      </c>
      <c r="F296" s="12" t="s">
        <v>203</v>
      </c>
      <c r="G296" s="10" t="s">
        <v>396</v>
      </c>
      <c r="H296" s="6" t="s">
        <v>22</v>
      </c>
      <c r="I296" s="12"/>
      <c r="J296" s="9"/>
      <c r="K296" s="13" t="str">
        <f aca="true">IF(A296="","",TODAY()-A296)</f>
        <v/>
      </c>
      <c r="L296" s="11" t="s">
        <v>931</v>
      </c>
      <c r="M296" s="10" t="s">
        <v>308</v>
      </c>
      <c r="N296" s="10" t="s">
        <v>309</v>
      </c>
      <c r="O296" s="10" t="s">
        <v>310</v>
      </c>
      <c r="P296" s="14" t="s">
        <v>316</v>
      </c>
    </row>
    <row r="297" customFormat="false" ht="18" hidden="false" customHeight="true" outlineLevel="0" collapsed="false">
      <c r="A297" s="3"/>
      <c r="B297" s="4" t="str">
        <f aca="false">IF(A297="","",TEXT(A297,"MM-YYYY"))</f>
        <v/>
      </c>
      <c r="C297" s="5" t="s">
        <v>932</v>
      </c>
      <c r="D297" s="4" t="s">
        <v>933</v>
      </c>
      <c r="E297" s="6" t="s">
        <v>305</v>
      </c>
      <c r="F297" s="6" t="s">
        <v>203</v>
      </c>
      <c r="G297" s="5" t="s">
        <v>342</v>
      </c>
      <c r="H297" s="6" t="s">
        <v>22</v>
      </c>
      <c r="I297" s="6"/>
      <c r="J297" s="3"/>
      <c r="K297" s="7" t="str">
        <f aca="true">IF(A297="","",TODAY()-A297)</f>
        <v/>
      </c>
      <c r="L297" s="4" t="s">
        <v>934</v>
      </c>
      <c r="M297" s="5" t="s">
        <v>308</v>
      </c>
      <c r="N297" s="5" t="s">
        <v>309</v>
      </c>
      <c r="O297" s="5" t="s">
        <v>310</v>
      </c>
      <c r="P297" s="8" t="s">
        <v>674</v>
      </c>
    </row>
    <row r="298" customFormat="false" ht="18" hidden="false" customHeight="true" outlineLevel="0" collapsed="false">
      <c r="A298" s="9"/>
      <c r="B298" s="4" t="str">
        <f aca="false">IF(A298="","",TEXT(A298,"MM-YYYY"))</f>
        <v/>
      </c>
      <c r="C298" s="10" t="s">
        <v>935</v>
      </c>
      <c r="D298" s="11" t="s">
        <v>936</v>
      </c>
      <c r="E298" s="12" t="s">
        <v>305</v>
      </c>
      <c r="F298" s="12" t="s">
        <v>203</v>
      </c>
      <c r="G298" s="10" t="s">
        <v>636</v>
      </c>
      <c r="H298" s="6" t="s">
        <v>22</v>
      </c>
      <c r="I298" s="12"/>
      <c r="J298" s="9"/>
      <c r="K298" s="13" t="str">
        <f aca="true">IF(A298="","",TODAY()-A298)</f>
        <v/>
      </c>
      <c r="L298" s="11" t="s">
        <v>937</v>
      </c>
      <c r="M298" s="10" t="s">
        <v>308</v>
      </c>
      <c r="N298" s="10" t="s">
        <v>309</v>
      </c>
      <c r="O298" s="10" t="s">
        <v>310</v>
      </c>
      <c r="P298" s="14" t="s">
        <v>391</v>
      </c>
    </row>
    <row r="299" customFormat="false" ht="18" hidden="false" customHeight="true" outlineLevel="0" collapsed="false">
      <c r="A299" s="3"/>
      <c r="B299" s="4" t="str">
        <f aca="false">IF(A299="","",TEXT(A299,"MM-YYYY"))</f>
        <v/>
      </c>
      <c r="C299" s="5" t="s">
        <v>938</v>
      </c>
      <c r="D299" s="4" t="s">
        <v>939</v>
      </c>
      <c r="E299" s="6" t="s">
        <v>305</v>
      </c>
      <c r="F299" s="6" t="s">
        <v>203</v>
      </c>
      <c r="G299" s="5" t="s">
        <v>371</v>
      </c>
      <c r="H299" s="6" t="s">
        <v>22</v>
      </c>
      <c r="I299" s="6"/>
      <c r="J299" s="3"/>
      <c r="K299" s="7" t="str">
        <f aca="true">IF(A299="","",TODAY()-A299)</f>
        <v/>
      </c>
      <c r="L299" s="4" t="s">
        <v>940</v>
      </c>
      <c r="M299" s="5" t="s">
        <v>308</v>
      </c>
      <c r="N299" s="5" t="s">
        <v>309</v>
      </c>
      <c r="O299" s="5" t="s">
        <v>310</v>
      </c>
      <c r="P299" s="8" t="s">
        <v>316</v>
      </c>
    </row>
    <row r="300" customFormat="false" ht="18" hidden="false" customHeight="true" outlineLevel="0" collapsed="false">
      <c r="A300" s="9"/>
      <c r="B300" s="4" t="str">
        <f aca="false">IF(A300="","",TEXT(A300,"MM-YYYY"))</f>
        <v/>
      </c>
      <c r="C300" s="10" t="s">
        <v>941</v>
      </c>
      <c r="D300" s="11" t="s">
        <v>942</v>
      </c>
      <c r="E300" s="12" t="s">
        <v>305</v>
      </c>
      <c r="F300" s="12" t="s">
        <v>203</v>
      </c>
      <c r="G300" s="10" t="s">
        <v>418</v>
      </c>
      <c r="H300" s="6" t="s">
        <v>22</v>
      </c>
      <c r="I300" s="12"/>
      <c r="J300" s="9"/>
      <c r="K300" s="13" t="str">
        <f aca="true">IF(A300="","",TODAY()-A300)</f>
        <v/>
      </c>
      <c r="L300" s="11" t="s">
        <v>943</v>
      </c>
      <c r="M300" s="10" t="s">
        <v>308</v>
      </c>
      <c r="N300" s="10" t="s">
        <v>309</v>
      </c>
      <c r="O300" s="10" t="s">
        <v>310</v>
      </c>
      <c r="P300" s="14" t="s">
        <v>316</v>
      </c>
    </row>
    <row r="301" customFormat="false" ht="18" hidden="false" customHeight="true" outlineLevel="0" collapsed="false">
      <c r="A301" s="3"/>
      <c r="B301" s="4" t="str">
        <f aca="false">IF(A301="","",TEXT(A301,"MM-YYYY"))</f>
        <v/>
      </c>
      <c r="C301" s="5" t="s">
        <v>944</v>
      </c>
      <c r="D301" s="4" t="s">
        <v>945</v>
      </c>
      <c r="E301" s="6" t="s">
        <v>305</v>
      </c>
      <c r="F301" s="6" t="s">
        <v>203</v>
      </c>
      <c r="G301" s="5" t="s">
        <v>418</v>
      </c>
      <c r="H301" s="6" t="s">
        <v>22</v>
      </c>
      <c r="I301" s="6"/>
      <c r="J301" s="3"/>
      <c r="K301" s="7" t="str">
        <f aca="true">IF(A301="","",TODAY()-A301)</f>
        <v/>
      </c>
      <c r="L301" s="4" t="s">
        <v>946</v>
      </c>
      <c r="M301" s="5" t="s">
        <v>308</v>
      </c>
      <c r="N301" s="5" t="s">
        <v>309</v>
      </c>
      <c r="O301" s="5" t="s">
        <v>310</v>
      </c>
      <c r="P301" s="8" t="s">
        <v>316</v>
      </c>
    </row>
    <row r="302" customFormat="false" ht="18" hidden="false" customHeight="true" outlineLevel="0" collapsed="false">
      <c r="A302" s="9"/>
      <c r="B302" s="4" t="str">
        <f aca="false">IF(A302="","",TEXT(A302,"MM-YYYY"))</f>
        <v/>
      </c>
      <c r="C302" s="10" t="s">
        <v>947</v>
      </c>
      <c r="D302" s="11" t="s">
        <v>948</v>
      </c>
      <c r="E302" s="12" t="s">
        <v>305</v>
      </c>
      <c r="F302" s="12" t="s">
        <v>203</v>
      </c>
      <c r="G302" s="10" t="s">
        <v>366</v>
      </c>
      <c r="H302" s="6" t="s">
        <v>22</v>
      </c>
      <c r="I302" s="12"/>
      <c r="J302" s="9"/>
      <c r="K302" s="13" t="str">
        <f aca="true">IF(A302="","",TODAY()-A302)</f>
        <v/>
      </c>
      <c r="L302" s="11" t="s">
        <v>949</v>
      </c>
      <c r="M302" s="10" t="s">
        <v>348</v>
      </c>
      <c r="N302" s="10" t="s">
        <v>950</v>
      </c>
      <c r="O302" s="10" t="s">
        <v>350</v>
      </c>
      <c r="P302" s="14" t="s">
        <v>682</v>
      </c>
    </row>
    <row r="303" customFormat="false" ht="18" hidden="false" customHeight="true" outlineLevel="0" collapsed="false">
      <c r="A303" s="3"/>
      <c r="B303" s="4" t="str">
        <f aca="false">IF(A303="","",TEXT(A303,"MM-YYYY"))</f>
        <v/>
      </c>
      <c r="C303" s="5" t="s">
        <v>951</v>
      </c>
      <c r="D303" s="4" t="s">
        <v>952</v>
      </c>
      <c r="E303" s="6" t="s">
        <v>305</v>
      </c>
      <c r="F303" s="6" t="s">
        <v>203</v>
      </c>
      <c r="G303" s="5" t="s">
        <v>366</v>
      </c>
      <c r="H303" s="6" t="s">
        <v>22</v>
      </c>
      <c r="I303" s="6"/>
      <c r="J303" s="3"/>
      <c r="K303" s="7" t="str">
        <f aca="true">IF(A303="","",TODAY()-A303)</f>
        <v/>
      </c>
      <c r="L303" s="4" t="s">
        <v>953</v>
      </c>
      <c r="M303" s="5" t="s">
        <v>348</v>
      </c>
      <c r="N303" s="5" t="s">
        <v>349</v>
      </c>
      <c r="O303" s="5" t="s">
        <v>350</v>
      </c>
      <c r="P303" s="8" t="s">
        <v>336</v>
      </c>
    </row>
    <row r="304" customFormat="false" ht="18" hidden="false" customHeight="true" outlineLevel="0" collapsed="false">
      <c r="A304" s="9"/>
      <c r="B304" s="4" t="str">
        <f aca="false">IF(A304="","",TEXT(A304,"MM-YYYY"))</f>
        <v/>
      </c>
      <c r="C304" s="10" t="s">
        <v>954</v>
      </c>
      <c r="D304" s="11" t="s">
        <v>955</v>
      </c>
      <c r="E304" s="12" t="s">
        <v>305</v>
      </c>
      <c r="F304" s="12" t="s">
        <v>203</v>
      </c>
      <c r="G304" s="10" t="s">
        <v>319</v>
      </c>
      <c r="H304" s="6" t="s">
        <v>22</v>
      </c>
      <c r="I304" s="12"/>
      <c r="J304" s="9"/>
      <c r="K304" s="13" t="str">
        <f aca="true">IF(A304="","",TODAY()-A304)</f>
        <v/>
      </c>
      <c r="L304" s="11" t="s">
        <v>956</v>
      </c>
      <c r="M304" s="10" t="s">
        <v>308</v>
      </c>
      <c r="N304" s="10" t="s">
        <v>309</v>
      </c>
      <c r="O304" s="10" t="s">
        <v>310</v>
      </c>
      <c r="P304" s="14" t="s">
        <v>391</v>
      </c>
    </row>
    <row r="305" customFormat="false" ht="18" hidden="false" customHeight="true" outlineLevel="0" collapsed="false">
      <c r="A305" s="3"/>
      <c r="B305" s="4" t="str">
        <f aca="false">IF(A305="","",TEXT(A305,"MM-YYYY"))</f>
        <v/>
      </c>
      <c r="C305" s="5" t="s">
        <v>957</v>
      </c>
      <c r="D305" s="4" t="s">
        <v>958</v>
      </c>
      <c r="E305" s="6" t="s">
        <v>305</v>
      </c>
      <c r="F305" s="6" t="s">
        <v>203</v>
      </c>
      <c r="G305" s="5" t="s">
        <v>959</v>
      </c>
      <c r="H305" s="6" t="s">
        <v>22</v>
      </c>
      <c r="I305" s="6"/>
      <c r="J305" s="3"/>
      <c r="K305" s="7" t="str">
        <f aca="true">IF(A305="","",TODAY()-A305)</f>
        <v/>
      </c>
      <c r="L305" s="4" t="s">
        <v>960</v>
      </c>
      <c r="M305" s="5" t="s">
        <v>308</v>
      </c>
      <c r="N305" s="5" t="s">
        <v>355</v>
      </c>
      <c r="O305" s="5" t="s">
        <v>310</v>
      </c>
      <c r="P305" s="8" t="s">
        <v>712</v>
      </c>
    </row>
    <row r="306" customFormat="false" ht="18" hidden="false" customHeight="true" outlineLevel="0" collapsed="false">
      <c r="A306" s="9"/>
      <c r="B306" s="4" t="str">
        <f aca="false">IF(A306="","",TEXT(A306,"MM-YYYY"))</f>
        <v/>
      </c>
      <c r="C306" s="10" t="s">
        <v>961</v>
      </c>
      <c r="D306" s="11" t="s">
        <v>962</v>
      </c>
      <c r="E306" s="12" t="s">
        <v>305</v>
      </c>
      <c r="F306" s="12" t="s">
        <v>203</v>
      </c>
      <c r="G306" s="10" t="s">
        <v>601</v>
      </c>
      <c r="H306" s="6" t="s">
        <v>22</v>
      </c>
      <c r="I306" s="12"/>
      <c r="J306" s="9"/>
      <c r="K306" s="13" t="str">
        <f aca="true">IF(A306="","",TODAY()-A306)</f>
        <v/>
      </c>
      <c r="L306" s="11" t="s">
        <v>963</v>
      </c>
      <c r="M306" s="10" t="s">
        <v>308</v>
      </c>
      <c r="N306" s="10" t="s">
        <v>309</v>
      </c>
      <c r="O306" s="10" t="s">
        <v>310</v>
      </c>
      <c r="P306" s="14" t="s">
        <v>316</v>
      </c>
    </row>
    <row r="307" customFormat="false" ht="18" hidden="false" customHeight="true" outlineLevel="0" collapsed="false">
      <c r="A307" s="3"/>
      <c r="B307" s="4" t="str">
        <f aca="false">IF(A307="","",TEXT(A307,"MM-YYYY"))</f>
        <v/>
      </c>
      <c r="C307" s="5" t="s">
        <v>964</v>
      </c>
      <c r="D307" s="4" t="s">
        <v>965</v>
      </c>
      <c r="E307" s="6" t="s">
        <v>305</v>
      </c>
      <c r="F307" s="6" t="s">
        <v>203</v>
      </c>
      <c r="G307" s="5" t="s">
        <v>966</v>
      </c>
      <c r="H307" s="6" t="s">
        <v>22</v>
      </c>
      <c r="I307" s="6"/>
      <c r="J307" s="3"/>
      <c r="K307" s="7" t="str">
        <f aca="true">IF(A307="","",TODAY()-A307)</f>
        <v/>
      </c>
      <c r="L307" s="4" t="s">
        <v>967</v>
      </c>
      <c r="M307" s="5" t="s">
        <v>308</v>
      </c>
      <c r="N307" s="5" t="s">
        <v>309</v>
      </c>
      <c r="O307" s="5" t="s">
        <v>310</v>
      </c>
      <c r="P307" s="8" t="s">
        <v>316</v>
      </c>
    </row>
    <row r="308" customFormat="false" ht="18" hidden="false" customHeight="true" outlineLevel="0" collapsed="false">
      <c r="A308" s="9"/>
      <c r="B308" s="4" t="str">
        <f aca="false">IF(A308="","",TEXT(A308,"MM-YYYY"))</f>
        <v/>
      </c>
      <c r="C308" s="10" t="s">
        <v>968</v>
      </c>
      <c r="D308" s="11" t="s">
        <v>969</v>
      </c>
      <c r="E308" s="12" t="s">
        <v>305</v>
      </c>
      <c r="F308" s="12" t="s">
        <v>203</v>
      </c>
      <c r="G308" s="10" t="s">
        <v>386</v>
      </c>
      <c r="H308" s="6" t="s">
        <v>22</v>
      </c>
      <c r="I308" s="12"/>
      <c r="J308" s="9"/>
      <c r="K308" s="13" t="str">
        <f aca="true">IF(A308="","",TODAY()-A308)</f>
        <v/>
      </c>
      <c r="L308" s="11" t="s">
        <v>970</v>
      </c>
      <c r="M308" s="10" t="s">
        <v>348</v>
      </c>
      <c r="N308" s="10" t="s">
        <v>349</v>
      </c>
      <c r="O308" s="10" t="s">
        <v>350</v>
      </c>
      <c r="P308" s="14" t="s">
        <v>316</v>
      </c>
    </row>
    <row r="309" customFormat="false" ht="18" hidden="false" customHeight="true" outlineLevel="0" collapsed="false">
      <c r="A309" s="3"/>
      <c r="B309" s="4" t="str">
        <f aca="false">IF(A309="","",TEXT(A309,"MM-YYYY"))</f>
        <v/>
      </c>
      <c r="C309" s="5" t="s">
        <v>971</v>
      </c>
      <c r="D309" s="4" t="s">
        <v>972</v>
      </c>
      <c r="E309" s="6" t="s">
        <v>305</v>
      </c>
      <c r="F309" s="6" t="s">
        <v>203</v>
      </c>
      <c r="G309" s="5" t="s">
        <v>358</v>
      </c>
      <c r="H309" s="6" t="s">
        <v>22</v>
      </c>
      <c r="I309" s="6"/>
      <c r="J309" s="3"/>
      <c r="K309" s="7" t="str">
        <f aca="true">IF(A309="","",TODAY()-A309)</f>
        <v/>
      </c>
      <c r="L309" s="4" t="s">
        <v>973</v>
      </c>
      <c r="M309" s="5" t="s">
        <v>308</v>
      </c>
      <c r="N309" s="5" t="s">
        <v>309</v>
      </c>
      <c r="O309" s="5" t="s">
        <v>310</v>
      </c>
      <c r="P309" s="8" t="s">
        <v>316</v>
      </c>
    </row>
    <row r="310" customFormat="false" ht="18" hidden="false" customHeight="true" outlineLevel="0" collapsed="false">
      <c r="A310" s="9"/>
      <c r="B310" s="4" t="str">
        <f aca="false">IF(A310="","",TEXT(A310,"MM-YYYY"))</f>
        <v/>
      </c>
      <c r="C310" s="10" t="s">
        <v>974</v>
      </c>
      <c r="D310" s="11" t="s">
        <v>326</v>
      </c>
      <c r="E310" s="12" t="s">
        <v>305</v>
      </c>
      <c r="F310" s="12" t="s">
        <v>203</v>
      </c>
      <c r="G310" s="10" t="s">
        <v>306</v>
      </c>
      <c r="H310" s="6" t="s">
        <v>22</v>
      </c>
      <c r="I310" s="12"/>
      <c r="J310" s="9"/>
      <c r="K310" s="13" t="str">
        <f aca="true">IF(A310="","",TODAY()-A310)</f>
        <v/>
      </c>
      <c r="L310" s="11" t="s">
        <v>975</v>
      </c>
      <c r="M310" s="10" t="s">
        <v>308</v>
      </c>
      <c r="N310" s="10" t="s">
        <v>309</v>
      </c>
      <c r="O310" s="10" t="s">
        <v>310</v>
      </c>
      <c r="P310" s="14" t="s">
        <v>316</v>
      </c>
    </row>
    <row r="311" customFormat="false" ht="18" hidden="false" customHeight="true" outlineLevel="0" collapsed="false">
      <c r="A311" s="3"/>
      <c r="B311" s="4" t="str">
        <f aca="false">IF(A311="","",TEXT(A311,"MM-YYYY"))</f>
        <v/>
      </c>
      <c r="C311" s="5" t="s">
        <v>976</v>
      </c>
      <c r="D311" s="4" t="s">
        <v>955</v>
      </c>
      <c r="E311" s="6" t="s">
        <v>305</v>
      </c>
      <c r="F311" s="6" t="s">
        <v>203</v>
      </c>
      <c r="G311" s="5" t="s">
        <v>464</v>
      </c>
      <c r="H311" s="6" t="s">
        <v>22</v>
      </c>
      <c r="I311" s="6"/>
      <c r="J311" s="3"/>
      <c r="K311" s="7" t="str">
        <f aca="true">IF(A311="","",TODAY()-A311)</f>
        <v/>
      </c>
      <c r="L311" s="4" t="s">
        <v>977</v>
      </c>
      <c r="M311" s="5" t="s">
        <v>308</v>
      </c>
      <c r="N311" s="5" t="s">
        <v>309</v>
      </c>
      <c r="O311" s="5" t="s">
        <v>310</v>
      </c>
      <c r="P311" s="8" t="s">
        <v>316</v>
      </c>
    </row>
    <row r="312" customFormat="false" ht="18" hidden="false" customHeight="true" outlineLevel="0" collapsed="false">
      <c r="A312" s="9"/>
      <c r="B312" s="4" t="str">
        <f aca="false">IF(A312="","",TEXT(A312,"MM-YYYY"))</f>
        <v/>
      </c>
      <c r="C312" s="10" t="s">
        <v>978</v>
      </c>
      <c r="D312" s="11" t="s">
        <v>326</v>
      </c>
      <c r="E312" s="12" t="s">
        <v>305</v>
      </c>
      <c r="F312" s="12" t="s">
        <v>203</v>
      </c>
      <c r="G312" s="10" t="s">
        <v>979</v>
      </c>
      <c r="H312" s="6" t="s">
        <v>22</v>
      </c>
      <c r="I312" s="12"/>
      <c r="J312" s="9"/>
      <c r="K312" s="13" t="str">
        <f aca="true">IF(A312="","",TODAY()-A312)</f>
        <v/>
      </c>
      <c r="L312" s="11" t="s">
        <v>980</v>
      </c>
      <c r="M312" s="10" t="s">
        <v>308</v>
      </c>
      <c r="N312" s="10" t="s">
        <v>309</v>
      </c>
      <c r="O312" s="10" t="s">
        <v>310</v>
      </c>
      <c r="P312" s="14" t="s">
        <v>316</v>
      </c>
    </row>
  </sheetData>
  <autoFilter ref="A2:P312"/>
  <mergeCells count="1">
    <mergeCell ref="A1:P1"/>
  </mergeCells>
  <conditionalFormatting sqref="H3:H410">
    <cfRule type="containsText" priority="2" operator="containsText" aboveAverage="0" equalAverage="0" bottom="0" percent="0" rank="0" text="Lead" dxfId="9">
      <formula>NOT(ISERROR(SEARCH("Lead",H3)))</formula>
    </cfRule>
    <cfRule type="containsText" priority="3" operator="containsText" aboveAverage="0" equalAverage="0" bottom="0" percent="0" rank="0" text="En Contacto" dxfId="10">
      <formula>NOT(ISERROR(SEARCH("En Contacto",H3)))</formula>
    </cfRule>
    <cfRule type="containsText" priority="4" operator="containsText" aboveAverage="0" equalAverage="0" bottom="0" percent="0" rank="0" text="Cotizado" dxfId="11">
      <formula>NOT(ISERROR(SEARCH("Cotizado",H3)))</formula>
    </cfRule>
    <cfRule type="containsText" priority="5" operator="containsText" aboveAverage="0" equalAverage="0" bottom="0" percent="0" rank="0" text="Cerrado" dxfId="12">
      <formula>NOT(ISERROR(SEARCH("Cerrado",H3)))</formula>
    </cfRule>
    <cfRule type="containsText" priority="6" operator="containsText" aboveAverage="0" equalAverage="0" bottom="0" percent="0" rank="0" text="Descartado" dxfId="13">
      <formula>NOT(ISERROR(SEARCH("Descartado",H3)))</formula>
    </cfRule>
  </conditionalFormatting>
  <dataValidations count="4">
    <dataValidation allowBlank="true" error="Usar lista desplegable" errorStyle="stop" errorTitle="Estado inválido" operator="between" showDropDown="false" showErrorMessage="true" showInputMessage="false" sqref="H3:H410" type="list">
      <formula1>LISTAS!$A$2:$A$6</formula1>
      <formula2>0</formula2>
    </dataValidation>
    <dataValidation allowBlank="true" errorStyle="stop" operator="between" showDropDown="false" showErrorMessage="false" showInputMessage="false" sqref="E3:E410" type="list">
      <formula1>LISTAS!$B$2:$B$3</formula1>
      <formula2>0</formula2>
    </dataValidation>
    <dataValidation allowBlank="true" errorStyle="stop" operator="between" showDropDown="false" showErrorMessage="false" showInputMessage="false" sqref="F3:F410" type="list">
      <formula1>LISTAS!$C$2:$C$4</formula1>
      <formula2>0</formula2>
    </dataValidation>
    <dataValidation allowBlank="true" errorStyle="stop" operator="between" showDropDown="false" showErrorMessage="false" showInputMessage="false" sqref="I3:I410" type="list">
      <formula1>LISTAS!$D$2:$D$3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0"/>
    <col collapsed="false" customWidth="true" hidden="false" outlineLevel="0" max="3" min="3" style="0" width="4"/>
    <col collapsed="false" customWidth="true" hidden="false" outlineLevel="0" max="4" min="4" style="0" width="15"/>
    <col collapsed="false" customWidth="true" hidden="false" outlineLevel="0" max="5" min="5" style="0" width="10"/>
  </cols>
  <sheetData>
    <row r="1" customFormat="false" ht="30" hidden="false" customHeight="true" outlineLevel="0" collapsed="false">
      <c r="A1" s="15" t="s">
        <v>981</v>
      </c>
      <c r="B1" s="15"/>
      <c r="C1" s="15"/>
      <c r="D1" s="15"/>
      <c r="E1" s="15"/>
      <c r="F1" s="15"/>
    </row>
    <row r="3" customFormat="false" ht="15" hidden="false" customHeight="false" outlineLevel="0" collapsed="false">
      <c r="A3" s="16" t="s">
        <v>982</v>
      </c>
      <c r="B3" s="16"/>
      <c r="D3" s="16" t="s">
        <v>983</v>
      </c>
      <c r="E3" s="16"/>
    </row>
    <row r="4" customFormat="false" ht="15" hidden="false" customHeight="false" outlineLevel="0" collapsed="false">
      <c r="A4" s="17" t="s">
        <v>132</v>
      </c>
      <c r="B4" s="18" t="n">
        <f aca="false">COUNTIF(BBDD!H:H,"Lead")</f>
        <v>8</v>
      </c>
      <c r="D4" s="19" t="s">
        <v>20</v>
      </c>
      <c r="E4" s="20" t="n">
        <f aca="false">COUNTIF(BBDD!F:F,"Sol")</f>
        <v>49</v>
      </c>
    </row>
    <row r="5" customFormat="false" ht="15" hidden="false" customHeight="false" outlineLevel="0" collapsed="false">
      <c r="A5" s="21" t="s">
        <v>22</v>
      </c>
      <c r="B5" s="22" t="n">
        <f aca="false">COUNTIF(BBDD!H:H,"En Contacto")</f>
        <v>220</v>
      </c>
      <c r="D5" s="19" t="s">
        <v>203</v>
      </c>
      <c r="E5" s="20" t="n">
        <f aca="false">COUNTIF(BBDD!F:F,"Vane")</f>
        <v>133</v>
      </c>
    </row>
    <row r="6" customFormat="false" ht="15" hidden="false" customHeight="false" outlineLevel="0" collapsed="false">
      <c r="A6" s="23" t="s">
        <v>35</v>
      </c>
      <c r="B6" s="24" t="n">
        <f aca="false">COUNTIF(BBDD!H:H,"Cotizado")</f>
        <v>30</v>
      </c>
      <c r="D6" s="19" t="s">
        <v>147</v>
      </c>
      <c r="E6" s="20" t="n">
        <f aca="false">COUNTIF(BBDD!F:F,"Juli")</f>
        <v>128</v>
      </c>
    </row>
    <row r="7" customFormat="false" ht="15" hidden="false" customHeight="false" outlineLevel="0" collapsed="false">
      <c r="A7" s="25" t="s">
        <v>766</v>
      </c>
      <c r="B7" s="26" t="n">
        <f aca="false">COUNTIF(BBDD!H:H,"Cerrado")</f>
        <v>3</v>
      </c>
    </row>
    <row r="8" customFormat="false" ht="15" hidden="false" customHeight="false" outlineLevel="0" collapsed="false">
      <c r="A8" s="27" t="s">
        <v>26</v>
      </c>
      <c r="B8" s="28" t="n">
        <f aca="false">COUNTIF(BBDD!H:H,"Descartado")</f>
        <v>49</v>
      </c>
    </row>
    <row r="10" customFormat="false" ht="15" hidden="false" customHeight="false" outlineLevel="0" collapsed="false">
      <c r="A10" s="29" t="s">
        <v>984</v>
      </c>
      <c r="B10" s="30" t="n">
        <f aca="false">COUNTIF(BBDD!I:I,"GS200")</f>
        <v>3</v>
      </c>
    </row>
    <row r="11" customFormat="false" ht="15" hidden="false" customHeight="false" outlineLevel="0" collapsed="false">
      <c r="A11" s="29" t="s">
        <v>985</v>
      </c>
      <c r="B11" s="30" t="n">
        <f aca="false">COUNTIF(BBDD!I:I,"GS100")</f>
        <v>0</v>
      </c>
    </row>
    <row r="12" customFormat="false" ht="15" hidden="false" customHeight="false" outlineLevel="0" collapsed="false">
      <c r="A12" s="29" t="s">
        <v>986</v>
      </c>
      <c r="B12" s="29" t="n">
        <f aca="false">COUNTA(BBDD!C:C)-1</f>
        <v>306</v>
      </c>
    </row>
  </sheetData>
  <mergeCells count="3">
    <mergeCell ref="A1:F1"/>
    <mergeCell ref="A3:B3"/>
    <mergeCell ref="D3:E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9" t="s">
        <v>8</v>
      </c>
      <c r="B1" s="29" t="s">
        <v>5</v>
      </c>
      <c r="C1" s="29" t="s">
        <v>6</v>
      </c>
      <c r="D1" s="29" t="s">
        <v>987</v>
      </c>
    </row>
    <row r="2" customFormat="false" ht="15" hidden="false" customHeight="false" outlineLevel="0" collapsed="false">
      <c r="A2" s="19" t="s">
        <v>132</v>
      </c>
      <c r="B2" s="19" t="s">
        <v>19</v>
      </c>
      <c r="C2" s="19" t="s">
        <v>20</v>
      </c>
      <c r="D2" s="19" t="s">
        <v>988</v>
      </c>
    </row>
    <row r="3" customFormat="false" ht="15" hidden="false" customHeight="false" outlineLevel="0" collapsed="false">
      <c r="A3" s="19" t="s">
        <v>22</v>
      </c>
      <c r="B3" s="19" t="s">
        <v>305</v>
      </c>
      <c r="C3" s="19" t="s">
        <v>203</v>
      </c>
      <c r="D3" s="19" t="s">
        <v>767</v>
      </c>
    </row>
    <row r="4" customFormat="false" ht="15" hidden="false" customHeight="false" outlineLevel="0" collapsed="false">
      <c r="A4" s="19" t="s">
        <v>35</v>
      </c>
      <c r="C4" s="19" t="s">
        <v>147</v>
      </c>
    </row>
    <row r="5" customFormat="false" ht="15" hidden="false" customHeight="false" outlineLevel="0" collapsed="false">
      <c r="A5" s="19" t="s">
        <v>766</v>
      </c>
    </row>
    <row r="6" customFormat="false" ht="15" hidden="false" customHeight="false" outlineLevel="0" collapsed="false">
      <c r="A6" s="19" t="s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2026-08-06T12:06:51Z</dcterms:created>
  <dc:creator>openpyxl</dc:creator>
  <dc:description/>
  <dc:language>en-US</dc:language>
  <cp:lastModifiedBy/>
  <dcterms:modified xsi:type="dcterms:W3CDTF">2026-08-06T12:06:52Z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